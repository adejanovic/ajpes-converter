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:\Namizje\NextCore razni dokumenti\CBK\Uvoz datoteke CBK\CBK vzorci\"/>
    </mc:Choice>
  </mc:AlternateContent>
  <xr:revisionPtr revIDLastSave="0" documentId="13_ncr:1_{38A3BF87-496C-4FA8-9D73-B4B92BC1AF03}" xr6:coauthVersionLast="47" xr6:coauthVersionMax="47" xr10:uidLastSave="{00000000-0000-0000-0000-000000000000}"/>
  <bookViews>
    <workbookView xWindow="28680" yWindow="-120" windowWidth="29040" windowHeight="15720" activeTab="1" xr2:uid="{33941036-61AF-4EE7-B655-7D54D98423EA}"/>
  </bookViews>
  <sheets>
    <sheet name="BS" sheetId="1" r:id="rId1"/>
    <sheet name="IPI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2" l="1"/>
  <c r="D31" i="2"/>
  <c r="D27" i="2"/>
  <c r="D20" i="2"/>
  <c r="D17" i="2" s="1"/>
  <c r="D16" i="2"/>
  <c r="D40" i="1"/>
  <c r="D44" i="1"/>
  <c r="D20" i="1"/>
  <c r="D13" i="1"/>
  <c r="D12" i="1" l="1"/>
  <c r="D26" i="2"/>
  <c r="D5" i="2"/>
  <c r="D4" i="2"/>
  <c r="D3" i="2"/>
  <c r="D30" i="1"/>
  <c r="D29" i="1" s="1"/>
  <c r="D28" i="1" s="1"/>
  <c r="D37" i="2" l="1"/>
  <c r="D25" i="2"/>
</calcChain>
</file>

<file path=xl/sharedStrings.xml><?xml version="1.0" encoding="utf-8"?>
<sst xmlns="http://schemas.openxmlformats.org/spreadsheetml/2006/main" count="319" uniqueCount="306">
  <si>
    <t>Izpolni sive celice</t>
  </si>
  <si>
    <t>Naziv pravne osebe</t>
  </si>
  <si>
    <t>Matična št.</t>
  </si>
  <si>
    <t>Št. partnerja</t>
  </si>
  <si>
    <t>Tip bilance</t>
  </si>
  <si>
    <t>Obdobje bilance</t>
  </si>
  <si>
    <t>Tip subjekta</t>
  </si>
  <si>
    <t>Podatki iz bilance stanja</t>
  </si>
  <si>
    <t>v EUR</t>
  </si>
  <si>
    <t>Oznaka za AOP</t>
  </si>
  <si>
    <t>Oznaka GVAOP</t>
  </si>
  <si>
    <t>Postavka</t>
  </si>
  <si>
    <t>Znesek</t>
  </si>
  <si>
    <t>001</t>
  </si>
  <si>
    <t>[001]</t>
  </si>
  <si>
    <t>002</t>
  </si>
  <si>
    <t>[00101]</t>
  </si>
  <si>
    <t>003</t>
  </si>
  <si>
    <t>[0010101]</t>
  </si>
  <si>
    <t>010</t>
  </si>
  <si>
    <t>[0010102]</t>
  </si>
  <si>
    <t>018</t>
  </si>
  <si>
    <t>[0010104]</t>
  </si>
  <si>
    <t>III. Naložbene nepremičnine</t>
  </si>
  <si>
    <t>019</t>
  </si>
  <si>
    <t>[0010105]</t>
  </si>
  <si>
    <t>027</t>
  </si>
  <si>
    <t>[001020201]</t>
  </si>
  <si>
    <t>031</t>
  </si>
  <si>
    <t>[0010106]</t>
  </si>
  <si>
    <t>VI. Odložene terjatve za davek</t>
  </si>
  <si>
    <t>032</t>
  </si>
  <si>
    <t>[00102]</t>
  </si>
  <si>
    <t>033</t>
  </si>
  <si>
    <t>[0010205]</t>
  </si>
  <si>
    <t>I. Sredstva (skupine za odtujitev) za prodajo</t>
  </si>
  <si>
    <t>034</t>
  </si>
  <si>
    <t>[0010201]</t>
  </si>
  <si>
    <t>040</t>
  </si>
  <si>
    <t>[0010203]</t>
  </si>
  <si>
    <t>048</t>
  </si>
  <si>
    <t>[001020202]</t>
  </si>
  <si>
    <t>052</t>
  </si>
  <si>
    <t>[0010204]</t>
  </si>
  <si>
    <t>V. Denarna sredstva</t>
  </si>
  <si>
    <t>053</t>
  </si>
  <si>
    <t>[00103]</t>
  </si>
  <si>
    <t>C. KRATKOROČNE AKTIVNE ČASOVNE RAZMEJITVE</t>
  </si>
  <si>
    <t>054</t>
  </si>
  <si>
    <t>[002]</t>
  </si>
  <si>
    <t>Zunajbilančna sredstva</t>
  </si>
  <si>
    <t>055</t>
  </si>
  <si>
    <t>[003]</t>
  </si>
  <si>
    <t>056</t>
  </si>
  <si>
    <t>[00301]</t>
  </si>
  <si>
    <t>057</t>
  </si>
  <si>
    <t>[0030101]</t>
  </si>
  <si>
    <t>I. Vpoklicani kapital</t>
  </si>
  <si>
    <t>058</t>
  </si>
  <si>
    <t>[003010101]</t>
  </si>
  <si>
    <t>1. Osnovni kapital</t>
  </si>
  <si>
    <t>059</t>
  </si>
  <si>
    <t>[003010102]</t>
  </si>
  <si>
    <t>2. Nevpoklicani kapital (kot odbitna postavka)</t>
  </si>
  <si>
    <t>060</t>
  </si>
  <si>
    <t>[0030102]</t>
  </si>
  <si>
    <t>II. Kapitalske rezerve</t>
  </si>
  <si>
    <t>061</t>
  </si>
  <si>
    <t>[0030103]</t>
  </si>
  <si>
    <t>III. Rezerve iz dobička</t>
  </si>
  <si>
    <t>067</t>
  </si>
  <si>
    <t>[0030106]</t>
  </si>
  <si>
    <t>IV. Revalorizacijske rezerve</t>
  </si>
  <si>
    <t>[351]</t>
  </si>
  <si>
    <t>V. Rezerve, nastale zaradi vrednotenja po pošteni vrednosti</t>
  </si>
  <si>
    <t>068</t>
  </si>
  <si>
    <t>070</t>
  </si>
  <si>
    <t>VIII. Čisti dobiček poslovnega leta</t>
  </si>
  <si>
    <t>072</t>
  </si>
  <si>
    <t>[00302]</t>
  </si>
  <si>
    <t>075</t>
  </si>
  <si>
    <t>[0030303]</t>
  </si>
  <si>
    <t>076</t>
  </si>
  <si>
    <t>[003030301]</t>
  </si>
  <si>
    <t>080</t>
  </si>
  <si>
    <t>[003030302]</t>
  </si>
  <si>
    <t>084</t>
  </si>
  <si>
    <t>[0030304]</t>
  </si>
  <si>
    <t>III. Odložene obveznosti za davek</t>
  </si>
  <si>
    <t>085</t>
  </si>
  <si>
    <t>[0030305]</t>
  </si>
  <si>
    <t>086</t>
  </si>
  <si>
    <t>[0030306]</t>
  </si>
  <si>
    <t>I. Obveznosti, vključene v skupine za odtujitev</t>
  </si>
  <si>
    <t>087</t>
  </si>
  <si>
    <t>[003030501]</t>
  </si>
  <si>
    <t>091</t>
  </si>
  <si>
    <t>[003030502]</t>
  </si>
  <si>
    <t>095</t>
  </si>
  <si>
    <t>[00304]</t>
  </si>
  <si>
    <t>D. KRATKOROČNE PASIVNE ČASOVNE RAZMEJITVE</t>
  </si>
  <si>
    <t>096</t>
  </si>
  <si>
    <t>[004]</t>
  </si>
  <si>
    <t>Zunajbilančne obveznosti</t>
  </si>
  <si>
    <t>Podatki iz izkaza poslovnega izida</t>
  </si>
  <si>
    <t>01.01.202X - 31.12.202X</t>
  </si>
  <si>
    <t>[050]</t>
  </si>
  <si>
    <t>[052]</t>
  </si>
  <si>
    <t>[054]</t>
  </si>
  <si>
    <t>[060]</t>
  </si>
  <si>
    <t>[055]</t>
  </si>
  <si>
    <t>[056]</t>
  </si>
  <si>
    <t>[057]</t>
  </si>
  <si>
    <t>[0570101]</t>
  </si>
  <si>
    <t>1. Amortizacija</t>
  </si>
  <si>
    <t>[0570102]</t>
  </si>
  <si>
    <t>2. Prevrednotovalni poslovni odhodki pri neopredmetenih sredstvih in opredmetenih osnovnih sredstvih</t>
  </si>
  <si>
    <t>[05702]</t>
  </si>
  <si>
    <t>3. Prevrednotovalni poslovni odhodki pri obratnih sredstvih</t>
  </si>
  <si>
    <t>[058]</t>
  </si>
  <si>
    <t>[06101]</t>
  </si>
  <si>
    <t>[062]</t>
  </si>
  <si>
    <t>[06201]</t>
  </si>
  <si>
    <t>[0620203]</t>
  </si>
  <si>
    <t>[0620204]</t>
  </si>
  <si>
    <t>[064]</t>
  </si>
  <si>
    <t>[06401]</t>
  </si>
  <si>
    <t>I. Finančni odhodki iz oslabitve in odpisov finančnih naložb</t>
  </si>
  <si>
    <t>[06404]</t>
  </si>
  <si>
    <t>[06405]</t>
  </si>
  <si>
    <t>[068]</t>
  </si>
  <si>
    <t>[069]</t>
  </si>
  <si>
    <t>[073]</t>
  </si>
  <si>
    <t>[07301]</t>
  </si>
  <si>
    <t>/</t>
  </si>
  <si>
    <t>[075]</t>
  </si>
  <si>
    <t>[090]</t>
  </si>
  <si>
    <t>*POVPREČNO ŠTEVILO ZAPOSLENIH NA PODLAGI DELOVNIH UR V OBRAČUNSKEM OBDOBJU (na dve decimalki)</t>
  </si>
  <si>
    <t>[091]</t>
  </si>
  <si>
    <t>ŠTEVILO MESECEV POSLOVANJA</t>
  </si>
  <si>
    <t>[071]</t>
  </si>
  <si>
    <t>[061]</t>
  </si>
  <si>
    <t>Poslovni izid iz poslovanja</t>
  </si>
  <si>
    <t>O+D53+A10:E88+A1+A10:E46</t>
  </si>
  <si>
    <t>[051]</t>
  </si>
  <si>
    <t>ZR</t>
  </si>
  <si>
    <t>Dodatna navodila</t>
  </si>
  <si>
    <t>3. Obdobje bilanc: vrednosti ZR-zaključni račun in ML-medletne</t>
  </si>
  <si>
    <t>*vpišite pozitivni znesek iz polja 07501 ali negativni izgubo iz 07502</t>
  </si>
  <si>
    <t>SREDSTVA=OBVEZNOSTI</t>
  </si>
  <si>
    <t>II. Zaloge (035 do 039)</t>
  </si>
  <si>
    <t>Revidirana</t>
  </si>
  <si>
    <t>Zaključena nerevidirana</t>
  </si>
  <si>
    <t>Konsolidirana revidirana</t>
  </si>
  <si>
    <t>Konsolidirana nerevidirana</t>
  </si>
  <si>
    <t>Preliminarna</t>
  </si>
  <si>
    <t>Zaključena</t>
  </si>
  <si>
    <r>
      <t xml:space="preserve">5. Preveri pravilnost vnosa, če vrednost postavka SREDSTVA </t>
    </r>
    <r>
      <rPr>
        <sz val="11"/>
        <color rgb="FFFF0000"/>
        <rFont val="Calibri"/>
        <family val="2"/>
        <charset val="238"/>
        <scheme val="minor"/>
      </rPr>
      <t>NI ENAKA</t>
    </r>
    <r>
      <rPr>
        <sz val="11"/>
        <color theme="1"/>
        <rFont val="Calibri"/>
        <family val="2"/>
        <charset val="238"/>
        <scheme val="minor"/>
      </rPr>
      <t xml:space="preserve"> OBVEZNOSTIM</t>
    </r>
  </si>
  <si>
    <t>Gospodarske družbe</t>
  </si>
  <si>
    <t>Samostojni podjetniki</t>
  </si>
  <si>
    <t>Zadruge</t>
  </si>
  <si>
    <t>Društva</t>
  </si>
  <si>
    <t>Pravne osebe javnega prava</t>
  </si>
  <si>
    <t>Pravne osebe zasebnega prava</t>
  </si>
  <si>
    <t>Banke</t>
  </si>
  <si>
    <t>Zavarovalnice</t>
  </si>
  <si>
    <t>Druge osebe javnega prava</t>
  </si>
  <si>
    <t>1. Vnos je možen v siva polja</t>
  </si>
  <si>
    <t xml:space="preserve">2. Matična številka pri tujcu naj bo oblikovana kot besedilo da se ohranijo vodilna 0 </t>
  </si>
  <si>
    <t>Št. partnerja je Hibis številka partnerja</t>
  </si>
  <si>
    <t>4. Tip bilance: vpiši ustrezno šifro spodaj</t>
  </si>
  <si>
    <t>5. Tip subjekta: vpiši šifro iz spodnje tabele</t>
  </si>
  <si>
    <t>6. Polja naziv, matična in št. Partnerja se bodo avtoamtsko napolnila na IPI</t>
  </si>
  <si>
    <t>7. Na IPI NI potrebno več pisati Tipa bilance</t>
  </si>
  <si>
    <t>vnos v crmb</t>
  </si>
  <si>
    <t>B001</t>
  </si>
  <si>
    <t>B002</t>
  </si>
  <si>
    <t>B003</t>
  </si>
  <si>
    <t>B004</t>
  </si>
  <si>
    <t>B005</t>
  </si>
  <si>
    <t>B006</t>
  </si>
  <si>
    <t>B007</t>
  </si>
  <si>
    <t>B010</t>
  </si>
  <si>
    <t>B011</t>
  </si>
  <si>
    <t>B012</t>
  </si>
  <si>
    <t>B013</t>
  </si>
  <si>
    <t>B014</t>
  </si>
  <si>
    <t>B017</t>
  </si>
  <si>
    <t>B018</t>
  </si>
  <si>
    <t>B019</t>
  </si>
  <si>
    <t>B020</t>
  </si>
  <si>
    <t>B021</t>
  </si>
  <si>
    <t>B022</t>
  </si>
  <si>
    <t>B023</t>
  </si>
  <si>
    <t>B024</t>
  </si>
  <si>
    <t>B025</t>
  </si>
  <si>
    <t>B026</t>
  </si>
  <si>
    <t>B027</t>
  </si>
  <si>
    <t>B028</t>
  </si>
  <si>
    <t>B044</t>
  </si>
  <si>
    <t>B029</t>
  </si>
  <si>
    <t>VI. Prenes. čisti pos. izid (pren. čisti dob./izg.)</t>
  </si>
  <si>
    <t>B030</t>
  </si>
  <si>
    <t>B031</t>
  </si>
  <si>
    <t>B034</t>
  </si>
  <si>
    <t>B035</t>
  </si>
  <si>
    <t>B036</t>
  </si>
  <si>
    <t>B037</t>
  </si>
  <si>
    <t>B038</t>
  </si>
  <si>
    <t>B039</t>
  </si>
  <si>
    <t>B040</t>
  </si>
  <si>
    <t>B041</t>
  </si>
  <si>
    <t>B042</t>
  </si>
  <si>
    <t>B043</t>
  </si>
  <si>
    <t>I033</t>
  </si>
  <si>
    <t>B002+B011+B019</t>
  </si>
  <si>
    <t>B003+B004+B005+B006+B009+B010</t>
  </si>
  <si>
    <t>B012+B013+B014+B017+B018</t>
  </si>
  <si>
    <t>[0030104]</t>
  </si>
  <si>
    <t>[0030105]</t>
  </si>
  <si>
    <t>B022+B031+B034+B038+B042</t>
  </si>
  <si>
    <t>B023+B026+B027+B028+B029+B030+B044+B045</t>
  </si>
  <si>
    <t>B024-B025</t>
  </si>
  <si>
    <t>B035+B036+B037</t>
  </si>
  <si>
    <t>B039+B040+B041</t>
  </si>
  <si>
    <t>CRMb oznake</t>
  </si>
  <si>
    <t>Kontrola na vnos postavk</t>
  </si>
  <si>
    <t>I002+I005+I006+I007</t>
  </si>
  <si>
    <t>I001</t>
  </si>
  <si>
    <t>I002</t>
  </si>
  <si>
    <t>I005</t>
  </si>
  <si>
    <t>2. Sprememba vrednosti zalog proizvodov in nedokončane proizvodnje</t>
  </si>
  <si>
    <t>1. Čisti pridonki od prodaje</t>
  </si>
  <si>
    <t>3. Usredstveni lastni proizvodi in lastne storitve</t>
  </si>
  <si>
    <t>I006</t>
  </si>
  <si>
    <t>4. Drugi posl. prih. (skupaj s subv., dotac., ...)</t>
  </si>
  <si>
    <t>[053]</t>
  </si>
  <si>
    <t>I007</t>
  </si>
  <si>
    <t>I009+I012+I017+I021</t>
  </si>
  <si>
    <t>I008</t>
  </si>
  <si>
    <t>I009</t>
  </si>
  <si>
    <t>1. Stroški blaga, materiala in storitev</t>
  </si>
  <si>
    <t>I012</t>
  </si>
  <si>
    <t xml:space="preserve">2. Stroški dela </t>
  </si>
  <si>
    <t xml:space="preserve">3. Odpisi vrednosti </t>
  </si>
  <si>
    <t>I018+I019+I020</t>
  </si>
  <si>
    <t>I017</t>
  </si>
  <si>
    <t>I019</t>
  </si>
  <si>
    <t>I018</t>
  </si>
  <si>
    <t>I020</t>
  </si>
  <si>
    <t>I021</t>
  </si>
  <si>
    <t>I001-I008</t>
  </si>
  <si>
    <t xml:space="preserve">4. Drugi poslovni odhodki </t>
  </si>
  <si>
    <t xml:space="preserve">	III. DOBIČEK/IZGUBA IZ POSLOVANJA (EBIT)</t>
  </si>
  <si>
    <t>I022</t>
  </si>
  <si>
    <t>IV. FINANČNI PRIHODKI</t>
  </si>
  <si>
    <t>I023</t>
  </si>
  <si>
    <t>I024</t>
  </si>
  <si>
    <t>I025</t>
  </si>
  <si>
    <t xml:space="preserve">1. Finančni prihodki iz deležev </t>
  </si>
  <si>
    <t xml:space="preserve">2. Finančni prihodki iz danih posojil </t>
  </si>
  <si>
    <t xml:space="preserve">3. Finančni prihodki iz poslovnih terjatev </t>
  </si>
  <si>
    <t>I026</t>
  </si>
  <si>
    <t xml:space="preserve">I. KOSMATI DONOS OD POSLOVANJA </t>
  </si>
  <si>
    <t xml:space="preserve">II. POSLOVNI ODHODKI </t>
  </si>
  <si>
    <t>I024+I025+I026</t>
  </si>
  <si>
    <t xml:space="preserve">V. FINANČNI ODHODKI </t>
  </si>
  <si>
    <t>I027</t>
  </si>
  <si>
    <t xml:space="preserve">II. Finančni odhodki iz finančnih obveznosti </t>
  </si>
  <si>
    <t>I029</t>
  </si>
  <si>
    <t>III. Finančni odhodki iz poslovnih obveznosti</t>
  </si>
  <si>
    <t>I030</t>
  </si>
  <si>
    <t>I028+I029+I030</t>
  </si>
  <si>
    <t>I028</t>
  </si>
  <si>
    <t>I031</t>
  </si>
  <si>
    <t xml:space="preserve">VI. DRUGI PRIHODKI </t>
  </si>
  <si>
    <t>VII. DRUGI ODHODKI</t>
  </si>
  <si>
    <t>I032</t>
  </si>
  <si>
    <t>VIII. Celotni poslovni izid</t>
  </si>
  <si>
    <t>I022+I023-I027+I031-I032</t>
  </si>
  <si>
    <t>DAVEK IZ DOBIČKA</t>
  </si>
  <si>
    <t>I034</t>
  </si>
  <si>
    <t>I035</t>
  </si>
  <si>
    <t>ODLOŽENI DAVKI</t>
  </si>
  <si>
    <t>I036</t>
  </si>
  <si>
    <t>IX. ČISTI DOBIČEK / (IZGUBA) OBRAČUNSKEGA OBDOBJA (S. ali Š)</t>
  </si>
  <si>
    <t>I022+I023-I027+I031-I032-I034-I035</t>
  </si>
  <si>
    <t>I047</t>
  </si>
  <si>
    <t xml:space="preserve">A. DOLGOROČNA SREDSTVA </t>
  </si>
  <si>
    <t>SREDSTVA</t>
  </si>
  <si>
    <t xml:space="preserve">II. Opredmetena osnovna sredstva </t>
  </si>
  <si>
    <t xml:space="preserve">I. Neopredmetena sredstva in dolgoročne aktivne časovne razmejitve </t>
  </si>
  <si>
    <t>IV. Dolgoročne finančne naložbe</t>
  </si>
  <si>
    <t xml:space="preserve">V. Dolgoročne poslovne terjatve </t>
  </si>
  <si>
    <t>III. Kratkoročne finančne naložbe (B015+B016)</t>
  </si>
  <si>
    <t xml:space="preserve">IV. Kratkoročne poslovne terjatve </t>
  </si>
  <si>
    <t xml:space="preserve">OBVEZNOSTI DO VIROV SREDSTEV </t>
  </si>
  <si>
    <t xml:space="preserve">A. KAPITAL </t>
  </si>
  <si>
    <t xml:space="preserve">B. REZERVACIJE IN DOLGOROČNE PASIVNE ČASOVNE RAZMEJITVE </t>
  </si>
  <si>
    <t xml:space="preserve">C. DOLGOROČNE OBVEZNOSTI </t>
  </si>
  <si>
    <t xml:space="preserve">I. Dolgoročne finančne obveznosti </t>
  </si>
  <si>
    <t xml:space="preserve">II. Dolgoročne poslovne obveznosti </t>
  </si>
  <si>
    <t xml:space="preserve">Č. KRATKOROČNE OBVEZNOSTI </t>
  </si>
  <si>
    <t xml:space="preserve">II. Kratkoročne finančne obveznosti </t>
  </si>
  <si>
    <t xml:space="preserve">III. Kratkoročne poslovne obveznosti </t>
  </si>
  <si>
    <t xml:space="preserve">B. KRATKOROČNA SREDSTVA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</si>
</sst>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#,###,##0.00"/>
  </numFmts>
  <fonts count="30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0"/>
      <name val="Arial CE"/>
      <family val="2"/>
      <charset val="238"/>
    </font>
    <font>
      <sz val="9"/>
      <name val="Arial CE"/>
      <family val="2"/>
      <charset val="238"/>
    </font>
    <font>
      <b/>
      <sz val="18"/>
      <name val="Arial CE"/>
      <charset val="238"/>
    </font>
    <font>
      <sz val="14"/>
      <name val="Arial CE"/>
      <family val="2"/>
      <charset val="238"/>
    </font>
    <font>
      <i/>
      <sz val="11"/>
      <color rgb="FFFF0000"/>
      <name val="Arial"/>
      <family val="2"/>
      <charset val="238"/>
    </font>
    <font>
      <sz val="11"/>
      <color theme="1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11"/>
      <color theme="1"/>
      <name val="Arial"/>
      <family val="2"/>
      <charset val="238"/>
    </font>
    <font>
      <sz val="9"/>
      <color theme="1"/>
      <name val="Calibri"/>
      <family val="2"/>
      <charset val="238"/>
      <scheme val="minor"/>
    </font>
    <font>
      <sz val="9"/>
      <name val="Arial CE"/>
      <charset val="238"/>
    </font>
    <font>
      <sz val="9"/>
      <name val="Arial"/>
      <family val="2"/>
      <charset val="238"/>
    </font>
    <font>
      <b/>
      <sz val="11"/>
      <color rgb="FFFF0000"/>
      <name val="Arial"/>
      <family val="2"/>
      <charset val="238"/>
    </font>
    <font>
      <i/>
      <sz val="9"/>
      <color rgb="FFFF0000"/>
      <name val="Arial"/>
      <family val="2"/>
      <charset val="238"/>
    </font>
    <font>
      <sz val="14"/>
      <color rgb="FFFF0000"/>
      <name val="Arial CE"/>
      <family val="2"/>
      <charset val="238"/>
    </font>
    <font>
      <b/>
      <sz val="9"/>
      <name val="Arial CE"/>
      <charset val="238"/>
    </font>
    <font>
      <i/>
      <sz val="8"/>
      <color rgb="FFFF0000"/>
      <name val="Calibri"/>
      <family val="2"/>
      <charset val="238"/>
      <scheme val="minor"/>
    </font>
    <font>
      <i/>
      <sz val="8"/>
      <color rgb="FFFF0000"/>
      <name val="Arial"/>
      <family val="2"/>
      <charset val="238"/>
    </font>
    <font>
      <b/>
      <sz val="11"/>
      <color indexed="8"/>
      <name val="arial"/>
      <family val="2"/>
      <charset val="238"/>
    </font>
    <font>
      <sz val="11"/>
      <color indexed="8"/>
      <name val="Arial"/>
      <family val="2"/>
      <charset val="238"/>
    </font>
    <font>
      <b/>
      <sz val="10"/>
      <color rgb="FF555555"/>
      <name val="Arial"/>
      <family val="2"/>
      <charset val="238"/>
    </font>
    <font>
      <sz val="11"/>
      <color rgb="FFFF0000"/>
      <name val="Calibri"/>
      <family val="2"/>
      <charset val="238"/>
      <scheme val="minor"/>
    </font>
    <font>
      <sz val="7"/>
      <color rgb="FF212121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8"/>
      <name val="Arial CE"/>
      <charset val="238"/>
    </font>
    <font>
      <b/>
      <sz val="14"/>
      <name val="Arial CE"/>
      <charset val="238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ACACA"/>
      </left>
      <right style="medium">
        <color rgb="FFCACACA"/>
      </right>
      <top style="medium">
        <color rgb="FFCACACA"/>
      </top>
      <bottom style="medium">
        <color rgb="FFCACACA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33">
    <xf numFmtId="0" fontId="0" fillId="0" borderId="0" xfId="0"/>
    <xf numFmtId="0" fontId="3" fillId="0" borderId="0" xfId="1" applyFont="1"/>
    <xf numFmtId="0" fontId="4" fillId="0" borderId="0" xfId="1" applyFont="1"/>
    <xf numFmtId="4" fontId="0" fillId="0" borderId="0" xfId="0" applyNumberFormat="1"/>
    <xf numFmtId="4" fontId="1" fillId="0" borderId="0" xfId="0" applyNumberFormat="1" applyFont="1"/>
    <xf numFmtId="0" fontId="1" fillId="0" borderId="0" xfId="0" applyFont="1"/>
    <xf numFmtId="0" fontId="5" fillId="0" borderId="0" xfId="1" applyFont="1" applyAlignment="1">
      <alignment wrapText="1"/>
    </xf>
    <xf numFmtId="0" fontId="1" fillId="0" borderId="0" xfId="0" applyFont="1" applyAlignment="1">
      <alignment horizontal="left" indent="1"/>
    </xf>
    <xf numFmtId="4" fontId="1" fillId="0" borderId="0" xfId="0" applyNumberFormat="1" applyFont="1" applyAlignment="1">
      <alignment horizontal="left" indent="1"/>
    </xf>
    <xf numFmtId="0" fontId="7" fillId="0" borderId="0" xfId="0" applyFont="1"/>
    <xf numFmtId="0" fontId="8" fillId="0" borderId="0" xfId="0" applyFont="1"/>
    <xf numFmtId="0" fontId="9" fillId="0" borderId="0" xfId="1" applyFont="1"/>
    <xf numFmtId="0" fontId="10" fillId="0" borderId="0" xfId="1" applyFont="1" applyAlignment="1">
      <alignment horizontal="right"/>
    </xf>
    <xf numFmtId="0" fontId="10" fillId="0" borderId="2" xfId="1" applyFont="1" applyBorder="1" applyAlignment="1">
      <alignment vertical="top" wrapText="1"/>
    </xf>
    <xf numFmtId="0" fontId="10" fillId="0" borderId="2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left" vertical="top" wrapText="1" indent="2"/>
    </xf>
    <xf numFmtId="0" fontId="9" fillId="0" borderId="2" xfId="1" applyFont="1" applyBorder="1" applyAlignment="1">
      <alignment horizontal="left" vertical="top" wrapText="1" indent="3"/>
    </xf>
    <xf numFmtId="3" fontId="10" fillId="0" borderId="1" xfId="1" applyNumberFormat="1" applyFont="1" applyBorder="1" applyAlignment="1">
      <alignment horizontal="right" vertical="top"/>
    </xf>
    <xf numFmtId="3" fontId="10" fillId="0" borderId="7" xfId="1" applyNumberFormat="1" applyFont="1" applyBorder="1" applyAlignment="1">
      <alignment horizontal="right" vertical="top"/>
    </xf>
    <xf numFmtId="0" fontId="9" fillId="0" borderId="2" xfId="1" applyFont="1" applyBorder="1" applyAlignment="1">
      <alignment horizontal="left" vertical="top" wrapText="1" indent="2"/>
    </xf>
    <xf numFmtId="3" fontId="9" fillId="2" borderId="7" xfId="1" applyNumberFormat="1" applyFont="1" applyFill="1" applyBorder="1" applyAlignment="1">
      <alignment horizontal="right" vertical="top"/>
    </xf>
    <xf numFmtId="3" fontId="10" fillId="2" borderId="7" xfId="1" applyNumberFormat="1" applyFont="1" applyFill="1" applyBorder="1" applyAlignment="1">
      <alignment horizontal="right" vertical="top"/>
    </xf>
    <xf numFmtId="3" fontId="9" fillId="0" borderId="7" xfId="1" applyNumberFormat="1" applyFont="1" applyBorder="1" applyAlignment="1">
      <alignment horizontal="right" vertical="top"/>
    </xf>
    <xf numFmtId="0" fontId="11" fillId="0" borderId="0" xfId="0" applyFont="1"/>
    <xf numFmtId="4" fontId="11" fillId="0" borderId="0" xfId="0" applyNumberFormat="1" applyFont="1"/>
    <xf numFmtId="4" fontId="8" fillId="0" borderId="0" xfId="0" applyNumberFormat="1" applyFont="1"/>
    <xf numFmtId="0" fontId="12" fillId="0" borderId="0" xfId="0" applyFont="1"/>
    <xf numFmtId="0" fontId="13" fillId="0" borderId="0" xfId="1" applyFont="1" applyAlignment="1">
      <alignment wrapText="1"/>
    </xf>
    <xf numFmtId="0" fontId="14" fillId="0" borderId="0" xfId="1" applyFont="1"/>
    <xf numFmtId="3" fontId="14" fillId="0" borderId="0" xfId="1" applyNumberFormat="1" applyFont="1"/>
    <xf numFmtId="0" fontId="14" fillId="0" borderId="0" xfId="1" applyFont="1" applyAlignment="1">
      <alignment horizontal="center"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7" fillId="0" borderId="0" xfId="1" applyFont="1"/>
    <xf numFmtId="0" fontId="11" fillId="3" borderId="0" xfId="0" applyFont="1" applyFill="1" applyAlignment="1">
      <alignment horizontal="center"/>
    </xf>
    <xf numFmtId="0" fontId="18" fillId="0" borderId="0" xfId="1" applyFont="1"/>
    <xf numFmtId="0" fontId="20" fillId="0" borderId="0" xfId="1" applyFont="1"/>
    <xf numFmtId="0" fontId="1" fillId="3" borderId="0" xfId="0" applyFont="1" applyFill="1" applyAlignment="1">
      <alignment horizontal="center"/>
    </xf>
    <xf numFmtId="0" fontId="12" fillId="3" borderId="0" xfId="0" applyFont="1" applyFill="1"/>
    <xf numFmtId="0" fontId="0" fillId="3" borderId="0" xfId="0" applyFill="1"/>
    <xf numFmtId="0" fontId="20" fillId="0" borderId="0" xfId="0" quotePrefix="1" applyFont="1"/>
    <xf numFmtId="164" fontId="21" fillId="0" borderId="2" xfId="0" applyNumberFormat="1" applyFont="1" applyBorder="1"/>
    <xf numFmtId="4" fontId="9" fillId="0" borderId="2" xfId="1" applyNumberFormat="1" applyFont="1" applyBorder="1" applyAlignment="1">
      <alignment horizontal="right" vertical="top"/>
    </xf>
    <xf numFmtId="4" fontId="10" fillId="0" borderId="2" xfId="1" applyNumberFormat="1" applyFont="1" applyBorder="1" applyAlignment="1">
      <alignment horizontal="right" vertical="top"/>
    </xf>
    <xf numFmtId="0" fontId="23" fillId="0" borderId="0" xfId="0" applyFont="1"/>
    <xf numFmtId="0" fontId="19" fillId="0" borderId="9" xfId="0" applyFont="1" applyBorder="1" applyAlignment="1">
      <alignment vertical="top" wrapText="1"/>
    </xf>
    <xf numFmtId="0" fontId="9" fillId="0" borderId="16" xfId="1" applyFont="1" applyBorder="1" applyAlignment="1">
      <alignment horizontal="center" vertical="center" wrapText="1"/>
    </xf>
    <xf numFmtId="0" fontId="9" fillId="0" borderId="16" xfId="1" quotePrefix="1" applyFont="1" applyBorder="1" applyAlignment="1">
      <alignment horizontal="center" vertical="center" wrapText="1"/>
    </xf>
    <xf numFmtId="0" fontId="9" fillId="0" borderId="17" xfId="1" applyFont="1" applyBorder="1" applyAlignment="1">
      <alignment horizontal="center" vertical="center" wrapText="1"/>
    </xf>
    <xf numFmtId="0" fontId="9" fillId="0" borderId="18" xfId="1" applyFont="1" applyBorder="1" applyAlignment="1">
      <alignment horizontal="center" vertical="center" wrapText="1"/>
    </xf>
    <xf numFmtId="0" fontId="10" fillId="0" borderId="18" xfId="1" applyFont="1" applyBorder="1" applyAlignment="1">
      <alignment vertical="top" wrapText="1"/>
    </xf>
    <xf numFmtId="3" fontId="9" fillId="2" borderId="20" xfId="1" applyNumberFormat="1" applyFont="1" applyFill="1" applyBorder="1" applyAlignment="1">
      <alignment horizontal="right" vertical="top"/>
    </xf>
    <xf numFmtId="4" fontId="9" fillId="2" borderId="2" xfId="1" applyNumberFormat="1" applyFont="1" applyFill="1" applyBorder="1" applyAlignment="1" applyProtection="1">
      <alignment horizontal="right" vertical="top"/>
      <protection locked="0"/>
    </xf>
    <xf numFmtId="4" fontId="10" fillId="2" borderId="2" xfId="1" applyNumberFormat="1" applyFont="1" applyFill="1" applyBorder="1" applyAlignment="1" applyProtection="1">
      <alignment horizontal="right" vertical="top"/>
      <protection locked="0"/>
    </xf>
    <xf numFmtId="3" fontId="9" fillId="2" borderId="1" xfId="1" applyNumberFormat="1" applyFont="1" applyFill="1" applyBorder="1" applyAlignment="1" applyProtection="1">
      <alignment horizontal="right" vertical="top"/>
      <protection locked="0"/>
    </xf>
    <xf numFmtId="3" fontId="9" fillId="2" borderId="19" xfId="1" applyNumberFormat="1" applyFont="1" applyFill="1" applyBorder="1" applyAlignment="1" applyProtection="1">
      <alignment horizontal="right" vertical="top"/>
      <protection locked="0"/>
    </xf>
    <xf numFmtId="3" fontId="10" fillId="2" borderId="1" xfId="1" applyNumberFormat="1" applyFont="1" applyFill="1" applyBorder="1" applyAlignment="1" applyProtection="1">
      <alignment horizontal="right" vertical="top"/>
      <protection locked="0"/>
    </xf>
    <xf numFmtId="14" fontId="15" fillId="2" borderId="1" xfId="1" applyNumberFormat="1" applyFont="1" applyFill="1" applyBorder="1" applyAlignment="1" applyProtection="1">
      <alignment horizontal="center" wrapText="1"/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6" fillId="0" borderId="2" xfId="1" applyFont="1" applyBorder="1"/>
    <xf numFmtId="0" fontId="3" fillId="0" borderId="9" xfId="1" applyFont="1" applyBorder="1"/>
    <xf numFmtId="0" fontId="0" fillId="4" borderId="0" xfId="0" applyFill="1"/>
    <xf numFmtId="0" fontId="25" fillId="5" borderId="21" xfId="0" applyFont="1" applyFill="1" applyBorder="1" applyAlignment="1">
      <alignment vertical="center" wrapText="1"/>
    </xf>
    <xf numFmtId="0" fontId="25" fillId="6" borderId="21" xfId="0" applyFont="1" applyFill="1" applyBorder="1" applyAlignment="1">
      <alignment vertical="center" wrapText="1"/>
    </xf>
    <xf numFmtId="0" fontId="26" fillId="7" borderId="0" xfId="0" applyFont="1" applyFill="1" applyProtection="1">
      <protection locked="0"/>
    </xf>
    <xf numFmtId="0" fontId="27" fillId="7" borderId="0" xfId="0" applyFont="1" applyFill="1"/>
    <xf numFmtId="0" fontId="0" fillId="0" borderId="0" xfId="0" applyAlignment="1" applyProtection="1">
      <alignment vertical="top"/>
      <protection locked="0"/>
    </xf>
    <xf numFmtId="0" fontId="0" fillId="0" borderId="0" xfId="0" applyAlignment="1" applyProtection="1">
      <alignment horizontal="left" indent="1"/>
      <protection locked="0"/>
    </xf>
    <xf numFmtId="0" fontId="0" fillId="8" borderId="0" xfId="0" applyFill="1"/>
    <xf numFmtId="0" fontId="9" fillId="8" borderId="2" xfId="1" applyFont="1" applyFill="1" applyBorder="1" applyAlignment="1">
      <alignment horizontal="center" vertical="center" wrapText="1"/>
    </xf>
    <xf numFmtId="0" fontId="13" fillId="0" borderId="0" xfId="1" applyFont="1"/>
    <xf numFmtId="0" fontId="28" fillId="0" borderId="0" xfId="1" applyFont="1" applyAlignment="1">
      <alignment wrapText="1"/>
    </xf>
    <xf numFmtId="4" fontId="3" fillId="0" borderId="0" xfId="1" applyNumberFormat="1" applyFont="1"/>
    <xf numFmtId="0" fontId="3" fillId="0" borderId="0" xfId="1" applyFont="1" applyAlignment="1">
      <alignment horizontal="left" indent="1"/>
    </xf>
    <xf numFmtId="164" fontId="21" fillId="0" borderId="7" xfId="0" applyNumberFormat="1" applyFont="1" applyBorder="1" applyAlignment="1">
      <alignment horizontal="right"/>
    </xf>
    <xf numFmtId="164" fontId="21" fillId="0" borderId="0" xfId="0" applyNumberFormat="1" applyFont="1"/>
    <xf numFmtId="4" fontId="9" fillId="2" borderId="7" xfId="1" applyNumberFormat="1" applyFont="1" applyFill="1" applyBorder="1" applyAlignment="1">
      <alignment horizontal="right" vertical="top"/>
    </xf>
    <xf numFmtId="0" fontId="9" fillId="8" borderId="18" xfId="1" applyFont="1" applyFill="1" applyBorder="1" applyAlignment="1">
      <alignment horizontal="center" vertical="center" wrapText="1"/>
    </xf>
    <xf numFmtId="4" fontId="9" fillId="2" borderId="18" xfId="1" applyNumberFormat="1" applyFont="1" applyFill="1" applyBorder="1" applyAlignment="1" applyProtection="1">
      <alignment horizontal="right" vertical="top"/>
      <protection locked="0"/>
    </xf>
    <xf numFmtId="0" fontId="9" fillId="0" borderId="15" xfId="1" applyFont="1" applyBorder="1" applyAlignment="1">
      <alignment horizontal="center" vertical="center" wrapText="1"/>
    </xf>
    <xf numFmtId="0" fontId="9" fillId="8" borderId="6" xfId="1" applyFont="1" applyFill="1" applyBorder="1" applyAlignment="1">
      <alignment horizontal="center" vertical="center" wrapText="1"/>
    </xf>
    <xf numFmtId="0" fontId="10" fillId="0" borderId="6" xfId="1" applyFont="1" applyBorder="1" applyAlignment="1">
      <alignment vertical="top" wrapText="1"/>
    </xf>
    <xf numFmtId="14" fontId="15" fillId="2" borderId="19" xfId="1" applyNumberFormat="1" applyFont="1" applyFill="1" applyBorder="1" applyAlignment="1" applyProtection="1">
      <alignment horizontal="center" wrapText="1"/>
      <protection locked="0"/>
    </xf>
    <xf numFmtId="4" fontId="9" fillId="0" borderId="2" xfId="1" applyNumberFormat="1" applyFont="1" applyBorder="1" applyAlignment="1" applyProtection="1">
      <alignment horizontal="right" vertical="top"/>
      <protection locked="0"/>
    </xf>
    <xf numFmtId="4" fontId="10" fillId="0" borderId="2" xfId="1" applyNumberFormat="1" applyFont="1" applyBorder="1" applyAlignment="1" applyProtection="1">
      <alignment horizontal="right" vertical="top"/>
      <protection locked="0"/>
    </xf>
    <xf numFmtId="4" fontId="9" fillId="9" borderId="2" xfId="1" applyNumberFormat="1" applyFont="1" applyFill="1" applyBorder="1" applyAlignment="1" applyProtection="1">
      <alignment horizontal="right" vertical="top"/>
      <protection locked="0"/>
    </xf>
    <xf numFmtId="4" fontId="10" fillId="9" borderId="2" xfId="1" applyNumberFormat="1" applyFont="1" applyFill="1" applyBorder="1" applyAlignment="1" applyProtection="1">
      <alignment horizontal="right" vertical="top"/>
      <protection locked="0"/>
    </xf>
    <xf numFmtId="3" fontId="9" fillId="9" borderId="7" xfId="1" applyNumberFormat="1" applyFont="1" applyFill="1" applyBorder="1" applyAlignment="1">
      <alignment horizontal="right" vertical="top"/>
    </xf>
    <xf numFmtId="3" fontId="10" fillId="9" borderId="7" xfId="1" applyNumberFormat="1" applyFont="1" applyFill="1" applyBorder="1" applyAlignment="1">
      <alignment horizontal="right" vertical="top"/>
    </xf>
    <xf numFmtId="164" fontId="22" fillId="9" borderId="2" xfId="0" applyNumberFormat="1" applyFont="1" applyFill="1" applyBorder="1" applyProtection="1">
      <protection locked="0"/>
    </xf>
    <xf numFmtId="164" fontId="22" fillId="9" borderId="7" xfId="0" applyNumberFormat="1" applyFont="1" applyFill="1" applyBorder="1" applyAlignment="1">
      <alignment horizontal="right"/>
    </xf>
    <xf numFmtId="164" fontId="21" fillId="9" borderId="2" xfId="0" applyNumberFormat="1" applyFont="1" applyFill="1" applyBorder="1" applyProtection="1">
      <protection locked="0"/>
    </xf>
    <xf numFmtId="164" fontId="21" fillId="9" borderId="7" xfId="0" applyNumberFormat="1" applyFont="1" applyFill="1" applyBorder="1" applyAlignment="1">
      <alignment horizontal="right"/>
    </xf>
    <xf numFmtId="4" fontId="9" fillId="9" borderId="7" xfId="1" applyNumberFormat="1" applyFont="1" applyFill="1" applyBorder="1" applyAlignment="1" applyProtection="1">
      <alignment horizontal="right" vertical="top"/>
      <protection locked="0"/>
    </xf>
    <xf numFmtId="164" fontId="21" fillId="9" borderId="0" xfId="0" applyNumberFormat="1" applyFont="1" applyFill="1" applyProtection="1">
      <protection locked="0"/>
    </xf>
    <xf numFmtId="4" fontId="9" fillId="9" borderId="7" xfId="1" applyNumberFormat="1" applyFont="1" applyFill="1" applyBorder="1" applyAlignment="1">
      <alignment horizontal="right" vertical="top"/>
    </xf>
    <xf numFmtId="0" fontId="29" fillId="0" borderId="0" xfId="1" applyFont="1" applyAlignment="1">
      <alignment wrapText="1"/>
    </xf>
    <xf numFmtId="14" fontId="11" fillId="2" borderId="20" xfId="1" applyNumberFormat="1" applyFont="1" applyFill="1" applyBorder="1" applyAlignment="1">
      <alignment horizontal="center" wrapText="1"/>
    </xf>
    <xf numFmtId="164" fontId="21" fillId="0" borderId="23" xfId="0" applyNumberFormat="1" applyFont="1" applyBorder="1" applyAlignment="1">
      <alignment horizontal="right"/>
    </xf>
    <xf numFmtId="4" fontId="9" fillId="9" borderId="1" xfId="1" applyNumberFormat="1" applyFont="1" applyFill="1" applyBorder="1" applyAlignment="1" applyProtection="1">
      <alignment horizontal="right" vertical="top"/>
      <protection locked="0"/>
    </xf>
    <xf numFmtId="164" fontId="21" fillId="9" borderId="24" xfId="0" applyNumberFormat="1" applyFont="1" applyFill="1" applyBorder="1" applyAlignment="1">
      <alignment horizontal="right"/>
    </xf>
    <xf numFmtId="14" fontId="11" fillId="2" borderId="7" xfId="1" applyNumberFormat="1" applyFont="1" applyFill="1" applyBorder="1" applyAlignment="1">
      <alignment horizontal="center" wrapText="1"/>
    </xf>
    <xf numFmtId="3" fontId="14" fillId="0" borderId="0" xfId="1" applyNumberFormat="1" applyFont="1" applyAlignment="1">
      <alignment vertical="top"/>
    </xf>
    <xf numFmtId="3" fontId="9" fillId="0" borderId="1" xfId="1" applyNumberFormat="1" applyFont="1" applyBorder="1" applyAlignment="1">
      <alignment horizontal="right" vertical="top"/>
    </xf>
    <xf numFmtId="3" fontId="10" fillId="0" borderId="1" xfId="1" applyNumberFormat="1" applyFont="1" applyBorder="1" applyAlignment="1" applyProtection="1">
      <alignment horizontal="right" vertical="top"/>
      <protection locked="0"/>
    </xf>
    <xf numFmtId="3" fontId="10" fillId="9" borderId="1" xfId="1" applyNumberFormat="1" applyFont="1" applyFill="1" applyBorder="1" applyAlignment="1" applyProtection="1">
      <alignment horizontal="right" vertical="top"/>
      <protection locked="0"/>
    </xf>
    <xf numFmtId="3" fontId="9" fillId="9" borderId="1" xfId="1" applyNumberFormat="1" applyFont="1" applyFill="1" applyBorder="1" applyAlignment="1" applyProtection="1">
      <alignment horizontal="right" vertical="top"/>
      <protection locked="0"/>
    </xf>
    <xf numFmtId="14" fontId="17" fillId="2" borderId="0" xfId="1" applyNumberFormat="1" applyFont="1" applyFill="1" applyAlignment="1" applyProtection="1">
      <alignment horizontal="center"/>
      <protection locked="0"/>
    </xf>
    <xf numFmtId="0" fontId="17" fillId="2" borderId="0" xfId="1" applyFont="1" applyFill="1" applyAlignment="1" applyProtection="1">
      <alignment horizontal="center"/>
      <protection locked="0"/>
    </xf>
    <xf numFmtId="0" fontId="10" fillId="0" borderId="3" xfId="1" applyFont="1" applyBorder="1" applyAlignment="1">
      <alignment horizontal="center" vertical="center" wrapText="1"/>
    </xf>
    <xf numFmtId="0" fontId="10" fillId="0" borderId="22" xfId="1" applyFont="1" applyBorder="1" applyAlignment="1">
      <alignment horizontal="center" vertical="center" wrapText="1"/>
    </xf>
    <xf numFmtId="0" fontId="10" fillId="0" borderId="3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wrapText="1"/>
    </xf>
    <xf numFmtId="0" fontId="10" fillId="0" borderId="5" xfId="1" applyFont="1" applyBorder="1" applyAlignment="1">
      <alignment horizontal="center" wrapText="1"/>
    </xf>
    <xf numFmtId="0" fontId="11" fillId="2" borderId="0" xfId="0" applyFont="1" applyFill="1" applyAlignment="1">
      <alignment horizontal="center"/>
    </xf>
    <xf numFmtId="0" fontId="4" fillId="2" borderId="1" xfId="1" applyFont="1" applyFill="1" applyBorder="1" applyAlignment="1" applyProtection="1">
      <alignment horizontal="left"/>
      <protection locked="0"/>
    </xf>
    <xf numFmtId="0" fontId="4" fillId="2" borderId="8" xfId="1" applyFont="1" applyFill="1" applyBorder="1" applyAlignment="1" applyProtection="1">
      <alignment horizontal="left"/>
      <protection locked="0"/>
    </xf>
    <xf numFmtId="14" fontId="4" fillId="2" borderId="10" xfId="1" applyNumberFormat="1" applyFont="1" applyFill="1" applyBorder="1" applyAlignment="1" applyProtection="1">
      <alignment horizontal="left"/>
      <protection locked="0"/>
    </xf>
    <xf numFmtId="0" fontId="4" fillId="2" borderId="11" xfId="1" applyFont="1" applyFill="1" applyBorder="1" applyAlignment="1" applyProtection="1">
      <alignment horizontal="left"/>
      <protection locked="0"/>
    </xf>
    <xf numFmtId="1" fontId="4" fillId="2" borderId="12" xfId="1" applyNumberFormat="1" applyFont="1" applyFill="1" applyBorder="1" applyAlignment="1" applyProtection="1">
      <alignment horizontal="left"/>
      <protection locked="0"/>
    </xf>
    <xf numFmtId="1" fontId="4" fillId="2" borderId="13" xfId="1" applyNumberFormat="1" applyFont="1" applyFill="1" applyBorder="1" applyAlignment="1" applyProtection="1">
      <alignment horizontal="left"/>
      <protection locked="0"/>
    </xf>
    <xf numFmtId="49" fontId="4" fillId="2" borderId="1" xfId="1" applyNumberFormat="1" applyFont="1" applyFill="1" applyBorder="1" applyAlignment="1" applyProtection="1">
      <alignment horizontal="left"/>
      <protection locked="0"/>
    </xf>
    <xf numFmtId="49" fontId="4" fillId="2" borderId="8" xfId="1" applyNumberFormat="1" applyFont="1" applyFill="1" applyBorder="1" applyAlignment="1" applyProtection="1">
      <alignment horizontal="left"/>
      <protection locked="0"/>
    </xf>
    <xf numFmtId="0" fontId="4" fillId="2" borderId="10" xfId="1" applyFont="1" applyFill="1" applyBorder="1" applyAlignment="1" applyProtection="1">
      <alignment horizontal="left"/>
      <protection locked="0"/>
    </xf>
    <xf numFmtId="0" fontId="5" fillId="0" borderId="0" xfId="1" applyFont="1" applyAlignment="1">
      <alignment horizontal="center" wrapText="1"/>
    </xf>
    <xf numFmtId="0" fontId="10" fillId="0" borderId="14" xfId="1" applyFont="1" applyBorder="1" applyAlignment="1">
      <alignment horizontal="center" vertical="center" wrapText="1"/>
    </xf>
    <xf numFmtId="0" fontId="10" fillId="0" borderId="1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0" fillId="0" borderId="6" xfId="1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top" wrapText="1"/>
    </xf>
  </cellXfs>
  <cellStyles count="2">
    <cellStyle name="Navadno" xfId="0" builtinId="0"/>
    <cellStyle name="Navadno 2" xfId="1" xr:uid="{5031C5F9-4E9B-45D7-96D5-806CCE7211E1}"/>
  </cellStyles>
  <dxfs count="10">
    <dxf>
      <numFmt numFmtId="4" formatCode="#,##0.00"/>
    </dxf>
    <dxf>
      <numFmt numFmtId="4" formatCode="#,##0.00"/>
    </dxf>
    <dxf>
      <font>
        <b/>
        <i val="0"/>
      </font>
    </dxf>
    <dxf>
      <fill>
        <patternFill>
          <bgColor rgb="FF92D050"/>
        </patternFill>
      </fill>
    </dxf>
    <dxf>
      <fill>
        <patternFill>
          <bgColor rgb="FFDC2443"/>
        </patternFill>
      </fill>
    </dxf>
    <dxf>
      <numFmt numFmtId="4" formatCode="#,##0.00"/>
    </dxf>
    <dxf>
      <font>
        <color rgb="FFFF0000"/>
      </font>
    </dxf>
    <dxf>
      <numFmt numFmtId="4" formatCode="#,##0.00"/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DC244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sistemov Office 2013–2022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D322-730A-4753-8BF3-2784AFB23DD4}">
  <sheetPr>
    <pageSetUpPr autoPageBreaks="0" fitToPage="1"/>
  </sheetPr>
  <dimension ref="A1:T118"/>
  <sheetViews>
    <sheetView showGridLines="0" topLeftCell="A8" zoomScale="68" zoomScaleNormal="68" workbookViewId="0">
      <selection activeCell="G29" sqref="G29"/>
    </sheetView>
  </sheetViews>
  <sheetFormatPr defaultRowHeight="15" x14ac:dyDescent="0.25"/>
  <cols>
    <col min="1" max="1" width="8.7109375" customWidth="1"/>
    <col min="2" max="2" width="16.7109375" bestFit="1" customWidth="1"/>
    <col min="3" max="3" width="53.28515625" customWidth="1"/>
    <col min="4" max="5" width="15.7109375" customWidth="1"/>
    <col min="6" max="6" width="33.42578125" customWidth="1"/>
    <col min="7" max="7" width="42.140625" customWidth="1"/>
    <col min="8" max="8" width="1.85546875" customWidth="1"/>
    <col min="9" max="9" width="2.7109375" customWidth="1"/>
    <col min="10" max="12" width="2.28515625" customWidth="1"/>
    <col min="13" max="13" width="2.85546875" customWidth="1"/>
    <col min="14" max="14" width="9.140625" customWidth="1"/>
    <col min="15" max="15" width="24" customWidth="1"/>
    <col min="16" max="22" width="9.140625" customWidth="1"/>
  </cols>
  <sheetData>
    <row r="1" spans="1:19" x14ac:dyDescent="0.25">
      <c r="C1" s="116" t="s">
        <v>0</v>
      </c>
      <c r="D1" s="116"/>
      <c r="E1" s="116"/>
    </row>
    <row r="2" spans="1:19" x14ac:dyDescent="0.25">
      <c r="C2" s="34"/>
      <c r="D2" s="34"/>
      <c r="E2" s="34"/>
    </row>
    <row r="3" spans="1:19" x14ac:dyDescent="0.25">
      <c r="C3" s="35" t="s">
        <v>1</v>
      </c>
      <c r="D3" s="117"/>
      <c r="E3" s="118"/>
      <c r="F3" s="45"/>
    </row>
    <row r="4" spans="1:19" x14ac:dyDescent="0.25">
      <c r="C4" s="35" t="s">
        <v>2</v>
      </c>
      <c r="D4" s="123"/>
      <c r="E4" s="124"/>
      <c r="F4" s="45"/>
      <c r="N4" s="65" t="s">
        <v>146</v>
      </c>
      <c r="O4" s="66"/>
      <c r="P4" s="66"/>
      <c r="Q4" s="66"/>
      <c r="R4" s="66"/>
      <c r="S4" s="66"/>
    </row>
    <row r="5" spans="1:19" x14ac:dyDescent="0.25">
      <c r="C5" s="35" t="s">
        <v>3</v>
      </c>
      <c r="D5" s="125"/>
      <c r="E5" s="120"/>
      <c r="F5" s="71" t="s">
        <v>4</v>
      </c>
      <c r="G5" s="121">
        <v>8</v>
      </c>
      <c r="H5" s="122"/>
      <c r="N5" s="59" t="s">
        <v>167</v>
      </c>
    </row>
    <row r="6" spans="1:19" x14ac:dyDescent="0.25">
      <c r="C6" s="35" t="s">
        <v>5</v>
      </c>
      <c r="D6" s="119" t="s">
        <v>145</v>
      </c>
      <c r="E6" s="120"/>
      <c r="F6" s="71" t="s">
        <v>6</v>
      </c>
      <c r="G6" s="121">
        <v>1</v>
      </c>
      <c r="H6" s="122"/>
      <c r="N6" s="59" t="s">
        <v>168</v>
      </c>
    </row>
    <row r="7" spans="1:19" ht="23.25" x14ac:dyDescent="0.35">
      <c r="C7" s="126" t="s">
        <v>7</v>
      </c>
      <c r="D7" s="126"/>
      <c r="E7" s="126"/>
      <c r="F7" s="72"/>
      <c r="G7" s="97" t="s">
        <v>226</v>
      </c>
      <c r="H7" s="1"/>
      <c r="N7" s="68" t="s">
        <v>169</v>
      </c>
    </row>
    <row r="8" spans="1:19" ht="31.15" customHeight="1" x14ac:dyDescent="0.25">
      <c r="C8" s="108">
        <v>46022</v>
      </c>
      <c r="D8" s="109"/>
      <c r="E8" s="109"/>
      <c r="F8" s="36"/>
      <c r="G8" s="60" t="s">
        <v>149</v>
      </c>
      <c r="H8" s="61"/>
      <c r="N8" s="59" t="s">
        <v>147</v>
      </c>
    </row>
    <row r="9" spans="1:19" ht="23.25" customHeight="1" thickBot="1" x14ac:dyDescent="0.3">
      <c r="B9" s="69" t="s">
        <v>174</v>
      </c>
      <c r="C9" s="11"/>
      <c r="D9" s="11"/>
      <c r="E9" s="12" t="s">
        <v>8</v>
      </c>
      <c r="F9" s="9"/>
      <c r="H9" s="1"/>
      <c r="N9" s="59" t="s">
        <v>170</v>
      </c>
      <c r="Q9" s="5"/>
    </row>
    <row r="10" spans="1:19" ht="15.75" thickBot="1" x14ac:dyDescent="0.3">
      <c r="A10" s="110" t="s">
        <v>9</v>
      </c>
      <c r="B10" s="110" t="s">
        <v>10</v>
      </c>
      <c r="C10" s="112" t="s">
        <v>11</v>
      </c>
      <c r="D10" s="114" t="s">
        <v>12</v>
      </c>
      <c r="E10" s="115"/>
      <c r="F10" s="33"/>
      <c r="N10" s="63">
        <v>3</v>
      </c>
      <c r="O10" s="63" t="s">
        <v>151</v>
      </c>
      <c r="P10" s="62"/>
    </row>
    <row r="11" spans="1:19" ht="15.75" thickBot="1" x14ac:dyDescent="0.3">
      <c r="A11" s="111"/>
      <c r="B11" s="111"/>
      <c r="C11" s="113"/>
      <c r="D11" s="83">
        <v>46022</v>
      </c>
      <c r="E11" s="98" t="s">
        <v>225</v>
      </c>
      <c r="F11" s="36"/>
      <c r="N11" s="63">
        <v>4</v>
      </c>
      <c r="O11" s="63" t="s">
        <v>152</v>
      </c>
    </row>
    <row r="12" spans="1:19" s="5" customFormat="1" ht="15.75" thickBot="1" x14ac:dyDescent="0.3">
      <c r="A12" s="80" t="s">
        <v>13</v>
      </c>
      <c r="B12" s="81" t="s">
        <v>14</v>
      </c>
      <c r="C12" s="82" t="s">
        <v>289</v>
      </c>
      <c r="D12" s="76">
        <f>D13+D20+D26</f>
        <v>0</v>
      </c>
      <c r="E12" s="99" t="s">
        <v>175</v>
      </c>
      <c r="F12" s="73" t="s">
        <v>215</v>
      </c>
      <c r="I12" s="4"/>
      <c r="N12" s="64">
        <v>5</v>
      </c>
      <c r="O12" s="64" t="s">
        <v>153</v>
      </c>
      <c r="Q12"/>
      <c r="R12"/>
      <c r="S12"/>
    </row>
    <row r="13" spans="1:19" s="5" customFormat="1" ht="15.75" thickBot="1" x14ac:dyDescent="0.3">
      <c r="A13" s="46" t="s">
        <v>15</v>
      </c>
      <c r="B13" s="70" t="s">
        <v>16</v>
      </c>
      <c r="C13" s="14" t="s">
        <v>288</v>
      </c>
      <c r="D13" s="41">
        <f>D14+D15+D16+D17+D18+D19</f>
        <v>0</v>
      </c>
      <c r="E13" s="75" t="s">
        <v>176</v>
      </c>
      <c r="F13" s="73" t="s">
        <v>216</v>
      </c>
      <c r="I13" s="4"/>
      <c r="N13" s="63">
        <v>6</v>
      </c>
      <c r="O13" s="63" t="s">
        <v>154</v>
      </c>
      <c r="Q13"/>
      <c r="R13"/>
    </row>
    <row r="14" spans="1:19" s="5" customFormat="1" ht="30.75" thickBot="1" x14ac:dyDescent="0.3">
      <c r="A14" s="46" t="s">
        <v>17</v>
      </c>
      <c r="B14" s="70" t="s">
        <v>18</v>
      </c>
      <c r="C14" s="15" t="s">
        <v>291</v>
      </c>
      <c r="D14" s="90">
        <v>0</v>
      </c>
      <c r="E14" s="91" t="s">
        <v>177</v>
      </c>
      <c r="F14" s="1"/>
      <c r="I14" s="4"/>
      <c r="N14" s="64">
        <v>7</v>
      </c>
      <c r="O14" s="64" t="s">
        <v>155</v>
      </c>
      <c r="Q14"/>
      <c r="R14"/>
    </row>
    <row r="15" spans="1:19" ht="15.75" thickBot="1" x14ac:dyDescent="0.3">
      <c r="A15" s="46" t="s">
        <v>19</v>
      </c>
      <c r="B15" s="70" t="s">
        <v>20</v>
      </c>
      <c r="C15" s="15" t="s">
        <v>290</v>
      </c>
      <c r="D15" s="92">
        <v>0</v>
      </c>
      <c r="E15" s="93" t="s">
        <v>178</v>
      </c>
      <c r="F15" s="1"/>
      <c r="I15" s="3"/>
      <c r="N15" s="63">
        <v>8</v>
      </c>
      <c r="O15" s="63" t="s">
        <v>156</v>
      </c>
      <c r="R15" s="5"/>
      <c r="S15" s="5"/>
    </row>
    <row r="16" spans="1:19" ht="15.75" thickBot="1" x14ac:dyDescent="0.3">
      <c r="A16" s="46" t="s">
        <v>21</v>
      </c>
      <c r="B16" s="70" t="s">
        <v>22</v>
      </c>
      <c r="C16" s="15" t="s">
        <v>23</v>
      </c>
      <c r="D16" s="86">
        <v>0</v>
      </c>
      <c r="E16" s="94" t="s">
        <v>179</v>
      </c>
      <c r="F16" s="1"/>
      <c r="I16" s="3"/>
      <c r="N16" s="67" t="s">
        <v>171</v>
      </c>
    </row>
    <row r="17" spans="1:20" ht="15.75" thickBot="1" x14ac:dyDescent="0.3">
      <c r="A17" s="46" t="s">
        <v>24</v>
      </c>
      <c r="B17" s="70" t="s">
        <v>25</v>
      </c>
      <c r="C17" s="15" t="s">
        <v>292</v>
      </c>
      <c r="D17" s="95">
        <v>0</v>
      </c>
      <c r="E17" s="101" t="s">
        <v>180</v>
      </c>
      <c r="F17" s="1"/>
      <c r="I17" s="3"/>
      <c r="N17" s="63">
        <v>1</v>
      </c>
      <c r="O17" s="63" t="s">
        <v>158</v>
      </c>
    </row>
    <row r="18" spans="1:20" ht="15.75" thickBot="1" x14ac:dyDescent="0.3">
      <c r="A18" s="46" t="s">
        <v>26</v>
      </c>
      <c r="B18" s="70" t="s">
        <v>27</v>
      </c>
      <c r="C18" s="15" t="s">
        <v>293</v>
      </c>
      <c r="D18" s="100">
        <v>0</v>
      </c>
      <c r="E18" s="96" t="s">
        <v>181</v>
      </c>
      <c r="F18" s="1"/>
      <c r="I18" s="3"/>
      <c r="N18" s="63">
        <v>2</v>
      </c>
      <c r="O18" s="63" t="s">
        <v>159</v>
      </c>
    </row>
    <row r="19" spans="1:20" ht="15.75" thickBot="1" x14ac:dyDescent="0.3">
      <c r="A19" s="46" t="s">
        <v>28</v>
      </c>
      <c r="B19" s="70" t="s">
        <v>29</v>
      </c>
      <c r="C19" s="15" t="s">
        <v>30</v>
      </c>
      <c r="D19" s="86">
        <v>0</v>
      </c>
      <c r="E19" s="88" t="s">
        <v>182</v>
      </c>
      <c r="F19" s="1"/>
      <c r="I19" s="3"/>
      <c r="N19" s="64">
        <v>3</v>
      </c>
      <c r="O19" s="64" t="s">
        <v>160</v>
      </c>
    </row>
    <row r="20" spans="1:20" ht="15.75" thickBot="1" x14ac:dyDescent="0.3">
      <c r="A20" s="46" t="s">
        <v>31</v>
      </c>
      <c r="B20" s="70" t="s">
        <v>32</v>
      </c>
      <c r="C20" s="13" t="s">
        <v>305</v>
      </c>
      <c r="D20" s="43">
        <f>D21+D22+D23+D24+D25</f>
        <v>0</v>
      </c>
      <c r="E20" s="18" t="s">
        <v>183</v>
      </c>
      <c r="F20" s="1" t="s">
        <v>217</v>
      </c>
      <c r="I20" s="3"/>
      <c r="N20" s="63">
        <v>4</v>
      </c>
      <c r="O20" s="63" t="s">
        <v>161</v>
      </c>
      <c r="Q20" s="5"/>
      <c r="R20" s="5"/>
    </row>
    <row r="21" spans="1:20" s="5" customFormat="1" ht="15.75" thickBot="1" x14ac:dyDescent="0.3">
      <c r="A21" s="46" t="s">
        <v>33</v>
      </c>
      <c r="B21" s="70" t="s">
        <v>34</v>
      </c>
      <c r="C21" s="15" t="s">
        <v>35</v>
      </c>
      <c r="D21" s="52">
        <v>0</v>
      </c>
      <c r="E21" s="20" t="s">
        <v>184</v>
      </c>
      <c r="F21" s="1"/>
      <c r="I21" s="4"/>
      <c r="N21" s="64">
        <v>5</v>
      </c>
      <c r="O21" s="64" t="s">
        <v>162</v>
      </c>
      <c r="P21"/>
      <c r="S21"/>
      <c r="T21"/>
    </row>
    <row r="22" spans="1:20" ht="15.75" thickBot="1" x14ac:dyDescent="0.3">
      <c r="A22" s="46" t="s">
        <v>36</v>
      </c>
      <c r="B22" s="70" t="s">
        <v>37</v>
      </c>
      <c r="C22" s="15" t="s">
        <v>150</v>
      </c>
      <c r="D22" s="86">
        <v>0</v>
      </c>
      <c r="E22" s="88" t="s">
        <v>185</v>
      </c>
      <c r="F22" s="1"/>
      <c r="I22" s="3"/>
      <c r="N22" s="63">
        <v>6</v>
      </c>
      <c r="O22" s="63" t="s">
        <v>163</v>
      </c>
      <c r="Q22" s="5"/>
      <c r="R22" s="5"/>
    </row>
    <row r="23" spans="1:20" ht="15.75" thickBot="1" x14ac:dyDescent="0.3">
      <c r="A23" s="46" t="s">
        <v>38</v>
      </c>
      <c r="B23" s="70" t="s">
        <v>39</v>
      </c>
      <c r="C23" s="15" t="s">
        <v>294</v>
      </c>
      <c r="D23" s="84">
        <v>0</v>
      </c>
      <c r="E23" s="22" t="s">
        <v>186</v>
      </c>
      <c r="F23" s="1"/>
      <c r="I23" s="3"/>
      <c r="N23" s="63">
        <v>7</v>
      </c>
      <c r="O23" s="63" t="s">
        <v>164</v>
      </c>
      <c r="Q23" s="5"/>
    </row>
    <row r="24" spans="1:20" ht="15.75" thickBot="1" x14ac:dyDescent="0.3">
      <c r="A24" s="46" t="s">
        <v>40</v>
      </c>
      <c r="B24" s="70" t="s">
        <v>41</v>
      </c>
      <c r="C24" s="15" t="s">
        <v>295</v>
      </c>
      <c r="D24" s="86">
        <v>0</v>
      </c>
      <c r="E24" s="88" t="s">
        <v>187</v>
      </c>
      <c r="F24" s="1"/>
      <c r="I24" s="3"/>
      <c r="N24" s="64">
        <v>8</v>
      </c>
      <c r="O24" s="64" t="s">
        <v>165</v>
      </c>
      <c r="Q24" s="5"/>
    </row>
    <row r="25" spans="1:20" ht="15.75" thickBot="1" x14ac:dyDescent="0.3">
      <c r="A25" s="46" t="s">
        <v>42</v>
      </c>
      <c r="B25" s="70" t="s">
        <v>43</v>
      </c>
      <c r="C25" s="15" t="s">
        <v>44</v>
      </c>
      <c r="D25" s="52">
        <v>0</v>
      </c>
      <c r="E25" s="20" t="s">
        <v>188</v>
      </c>
      <c r="F25" s="1"/>
      <c r="I25" s="3"/>
      <c r="N25" s="63">
        <v>9</v>
      </c>
      <c r="O25" s="63" t="s">
        <v>166</v>
      </c>
    </row>
    <row r="26" spans="1:20" ht="30" x14ac:dyDescent="0.25">
      <c r="A26" s="46" t="s">
        <v>45</v>
      </c>
      <c r="B26" s="70" t="s">
        <v>46</v>
      </c>
      <c r="C26" s="13" t="s">
        <v>47</v>
      </c>
      <c r="D26" s="53">
        <v>0</v>
      </c>
      <c r="E26" s="21" t="s">
        <v>189</v>
      </c>
      <c r="F26" s="1"/>
      <c r="I26" s="3"/>
      <c r="N26" s="67"/>
      <c r="T26" s="5"/>
    </row>
    <row r="27" spans="1:20" x14ac:dyDescent="0.25">
      <c r="A27" s="46" t="s">
        <v>48</v>
      </c>
      <c r="B27" s="70" t="s">
        <v>49</v>
      </c>
      <c r="C27" s="13" t="s">
        <v>50</v>
      </c>
      <c r="D27" s="53">
        <v>0</v>
      </c>
      <c r="E27" s="21" t="s">
        <v>190</v>
      </c>
      <c r="F27" s="1"/>
      <c r="I27" s="3"/>
      <c r="N27" s="59" t="s">
        <v>157</v>
      </c>
      <c r="Q27" s="5"/>
    </row>
    <row r="28" spans="1:20" x14ac:dyDescent="0.25">
      <c r="A28" s="46" t="s">
        <v>51</v>
      </c>
      <c r="B28" s="70" t="s">
        <v>52</v>
      </c>
      <c r="C28" s="13" t="s">
        <v>296</v>
      </c>
      <c r="D28" s="85">
        <f>D29+D39+D40+D44+D48</f>
        <v>0</v>
      </c>
      <c r="E28" s="18" t="s">
        <v>191</v>
      </c>
      <c r="F28" s="1" t="s">
        <v>220</v>
      </c>
      <c r="I28" s="3"/>
      <c r="N28" t="s">
        <v>172</v>
      </c>
      <c r="Q28" s="5"/>
    </row>
    <row r="29" spans="1:20" s="5" customFormat="1" ht="35.25" customHeight="1" x14ac:dyDescent="0.25">
      <c r="A29" s="46" t="s">
        <v>53</v>
      </c>
      <c r="B29" s="70" t="s">
        <v>54</v>
      </c>
      <c r="C29" s="14" t="s">
        <v>297</v>
      </c>
      <c r="D29" s="85">
        <f>D30+D33+D34+D35+D36+D37+D38</f>
        <v>0</v>
      </c>
      <c r="E29" s="18" t="s">
        <v>192</v>
      </c>
      <c r="F29" s="1" t="s">
        <v>221</v>
      </c>
      <c r="I29" s="4"/>
      <c r="N29" t="s">
        <v>173</v>
      </c>
      <c r="O29"/>
      <c r="P29"/>
      <c r="Q29"/>
      <c r="R29"/>
      <c r="S29"/>
      <c r="T29"/>
    </row>
    <row r="30" spans="1:20" s="5" customFormat="1" x14ac:dyDescent="0.25">
      <c r="A30" s="46" t="s">
        <v>55</v>
      </c>
      <c r="B30" s="70" t="s">
        <v>56</v>
      </c>
      <c r="C30" s="15" t="s">
        <v>57</v>
      </c>
      <c r="D30" s="42">
        <f>D31+D32</f>
        <v>0</v>
      </c>
      <c r="E30" s="22" t="s">
        <v>193</v>
      </c>
      <c r="F30" s="1" t="s">
        <v>222</v>
      </c>
      <c r="I30" s="4"/>
      <c r="N30"/>
      <c r="O30"/>
      <c r="P30"/>
      <c r="Q30"/>
      <c r="R30"/>
      <c r="S30"/>
      <c r="T30"/>
    </row>
    <row r="31" spans="1:20" x14ac:dyDescent="0.25">
      <c r="A31" s="46" t="s">
        <v>58</v>
      </c>
      <c r="B31" s="70" t="s">
        <v>59</v>
      </c>
      <c r="C31" s="16" t="s">
        <v>60</v>
      </c>
      <c r="D31" s="52">
        <v>0</v>
      </c>
      <c r="E31" s="20" t="s">
        <v>194</v>
      </c>
      <c r="F31" s="1"/>
      <c r="I31" s="3"/>
      <c r="O31" s="5"/>
      <c r="P31" s="5"/>
    </row>
    <row r="32" spans="1:20" x14ac:dyDescent="0.25">
      <c r="A32" s="46" t="s">
        <v>61</v>
      </c>
      <c r="B32" s="70" t="s">
        <v>62</v>
      </c>
      <c r="C32" s="16" t="s">
        <v>63</v>
      </c>
      <c r="D32" s="52">
        <v>0</v>
      </c>
      <c r="E32" s="20" t="s">
        <v>195</v>
      </c>
      <c r="F32" s="1"/>
      <c r="I32" s="3"/>
      <c r="N32" s="5"/>
    </row>
    <row r="33" spans="1:20" x14ac:dyDescent="0.25">
      <c r="A33" s="46" t="s">
        <v>64</v>
      </c>
      <c r="B33" s="70" t="s">
        <v>65</v>
      </c>
      <c r="C33" s="15" t="s">
        <v>66</v>
      </c>
      <c r="D33" s="52">
        <v>0</v>
      </c>
      <c r="E33" s="20" t="s">
        <v>196</v>
      </c>
      <c r="F33" s="1"/>
      <c r="I33" s="3"/>
    </row>
    <row r="34" spans="1:20" x14ac:dyDescent="0.25">
      <c r="A34" s="46" t="s">
        <v>67</v>
      </c>
      <c r="B34" s="70" t="s">
        <v>68</v>
      </c>
      <c r="C34" s="15" t="s">
        <v>69</v>
      </c>
      <c r="D34" s="86">
        <v>0</v>
      </c>
      <c r="E34" s="88" t="s">
        <v>197</v>
      </c>
      <c r="F34" s="1"/>
      <c r="I34" s="3"/>
      <c r="R34" s="5"/>
      <c r="S34" s="5"/>
      <c r="T34" s="5"/>
    </row>
    <row r="35" spans="1:20" x14ac:dyDescent="0.25">
      <c r="A35" s="46" t="s">
        <v>70</v>
      </c>
      <c r="B35" s="70" t="s">
        <v>71</v>
      </c>
      <c r="C35" s="15" t="s">
        <v>72</v>
      </c>
      <c r="D35" s="52">
        <v>0</v>
      </c>
      <c r="E35" s="20" t="s">
        <v>198</v>
      </c>
      <c r="F35" s="1"/>
      <c r="I35" s="3"/>
    </row>
    <row r="36" spans="1:20" ht="30" x14ac:dyDescent="0.25">
      <c r="A36" s="46">
        <v>301</v>
      </c>
      <c r="B36" s="70" t="s">
        <v>73</v>
      </c>
      <c r="C36" s="15" t="s">
        <v>74</v>
      </c>
      <c r="D36" s="52">
        <v>0</v>
      </c>
      <c r="E36" s="20" t="s">
        <v>199</v>
      </c>
      <c r="F36" s="1"/>
      <c r="I36" s="3"/>
      <c r="Q36" s="5"/>
    </row>
    <row r="37" spans="1:20" x14ac:dyDescent="0.25">
      <c r="A37" s="46" t="s">
        <v>75</v>
      </c>
      <c r="B37" s="70" t="s">
        <v>218</v>
      </c>
      <c r="C37" s="15" t="s">
        <v>201</v>
      </c>
      <c r="D37" s="52">
        <v>0</v>
      </c>
      <c r="E37" s="20" t="s">
        <v>200</v>
      </c>
      <c r="F37" s="1"/>
      <c r="I37" s="3"/>
    </row>
    <row r="38" spans="1:20" s="5" customFormat="1" x14ac:dyDescent="0.25">
      <c r="A38" s="46" t="s">
        <v>76</v>
      </c>
      <c r="B38" s="70" t="s">
        <v>219</v>
      </c>
      <c r="C38" s="15" t="s">
        <v>77</v>
      </c>
      <c r="D38" s="52">
        <v>0</v>
      </c>
      <c r="E38" s="20" t="s">
        <v>202</v>
      </c>
      <c r="F38" s="1"/>
      <c r="I38" s="4"/>
      <c r="N38"/>
      <c r="O38"/>
      <c r="P38"/>
      <c r="Q38"/>
    </row>
    <row r="39" spans="1:20" ht="30" x14ac:dyDescent="0.25">
      <c r="A39" s="46" t="s">
        <v>78</v>
      </c>
      <c r="B39" s="70" t="s">
        <v>79</v>
      </c>
      <c r="C39" s="14" t="s">
        <v>298</v>
      </c>
      <c r="D39" s="87">
        <v>0</v>
      </c>
      <c r="E39" s="89" t="s">
        <v>203</v>
      </c>
      <c r="F39" s="1"/>
      <c r="I39" s="3"/>
      <c r="O39" s="5"/>
      <c r="P39" s="5"/>
      <c r="R39" s="5"/>
      <c r="S39" s="5"/>
      <c r="T39" s="5"/>
    </row>
    <row r="40" spans="1:20" x14ac:dyDescent="0.25">
      <c r="A40" s="46" t="s">
        <v>80</v>
      </c>
      <c r="B40" s="70" t="s">
        <v>81</v>
      </c>
      <c r="C40" s="14" t="s">
        <v>299</v>
      </c>
      <c r="D40" s="43">
        <f>D41+D42+D43</f>
        <v>0</v>
      </c>
      <c r="E40" s="18" t="s">
        <v>204</v>
      </c>
      <c r="F40" s="1" t="s">
        <v>223</v>
      </c>
      <c r="I40" s="3"/>
      <c r="N40" s="5"/>
      <c r="O40" s="5"/>
      <c r="P40" s="5"/>
      <c r="Q40" s="5"/>
      <c r="R40" s="5"/>
      <c r="S40" s="5"/>
      <c r="T40" s="5"/>
    </row>
    <row r="41" spans="1:20" x14ac:dyDescent="0.25">
      <c r="A41" s="46" t="s">
        <v>82</v>
      </c>
      <c r="B41" s="70" t="s">
        <v>83</v>
      </c>
      <c r="C41" s="15" t="s">
        <v>300</v>
      </c>
      <c r="D41" s="86">
        <v>0</v>
      </c>
      <c r="E41" s="88" t="s">
        <v>205</v>
      </c>
      <c r="F41" s="1"/>
      <c r="I41" s="3"/>
      <c r="N41" s="5"/>
      <c r="Q41" s="5"/>
      <c r="R41" s="5"/>
      <c r="S41" s="5"/>
      <c r="T41" s="5"/>
    </row>
    <row r="42" spans="1:20" s="5" customFormat="1" x14ac:dyDescent="0.25">
      <c r="A42" s="46" t="s">
        <v>84</v>
      </c>
      <c r="B42" s="70" t="s">
        <v>85</v>
      </c>
      <c r="C42" s="15" t="s">
        <v>301</v>
      </c>
      <c r="D42" s="86">
        <v>0</v>
      </c>
      <c r="E42" s="88" t="s">
        <v>206</v>
      </c>
      <c r="F42" s="1"/>
      <c r="I42" s="4"/>
      <c r="N42"/>
      <c r="O42"/>
      <c r="P42"/>
      <c r="R42"/>
      <c r="S42"/>
      <c r="T42"/>
    </row>
    <row r="43" spans="1:20" s="5" customFormat="1" x14ac:dyDescent="0.25">
      <c r="A43" s="46" t="s">
        <v>86</v>
      </c>
      <c r="B43" s="70" t="s">
        <v>87</v>
      </c>
      <c r="C43" s="15" t="s">
        <v>88</v>
      </c>
      <c r="D43" s="52">
        <v>0</v>
      </c>
      <c r="E43" s="20" t="s">
        <v>207</v>
      </c>
      <c r="F43" s="1"/>
      <c r="I43" s="4"/>
      <c r="N43"/>
      <c r="O43"/>
      <c r="P43"/>
      <c r="R43"/>
      <c r="S43"/>
      <c r="T43"/>
    </row>
    <row r="44" spans="1:20" s="5" customFormat="1" ht="21" customHeight="1" x14ac:dyDescent="0.25">
      <c r="A44" s="46" t="s">
        <v>89</v>
      </c>
      <c r="B44" s="70" t="s">
        <v>90</v>
      </c>
      <c r="C44" s="14" t="s">
        <v>302</v>
      </c>
      <c r="D44" s="43">
        <f>D45+D46+D47</f>
        <v>0</v>
      </c>
      <c r="E44" s="18" t="s">
        <v>208</v>
      </c>
      <c r="F44" s="1" t="s">
        <v>224</v>
      </c>
      <c r="I44" s="4"/>
      <c r="N44"/>
      <c r="O44"/>
      <c r="P44"/>
      <c r="Q44"/>
      <c r="R44"/>
      <c r="S44"/>
      <c r="T44"/>
    </row>
    <row r="45" spans="1:20" s="5" customFormat="1" x14ac:dyDescent="0.25">
      <c r="A45" s="46" t="s">
        <v>91</v>
      </c>
      <c r="B45" s="70" t="s">
        <v>92</v>
      </c>
      <c r="C45" s="15" t="s">
        <v>93</v>
      </c>
      <c r="D45" s="52">
        <v>0</v>
      </c>
      <c r="E45" s="77" t="s">
        <v>209</v>
      </c>
      <c r="F45" s="1"/>
      <c r="I45" s="4"/>
      <c r="N45"/>
      <c r="O45"/>
      <c r="P45"/>
      <c r="Q45"/>
      <c r="R45"/>
      <c r="S45"/>
      <c r="T45"/>
    </row>
    <row r="46" spans="1:20" x14ac:dyDescent="0.25">
      <c r="A46" s="46" t="s">
        <v>94</v>
      </c>
      <c r="B46" s="70" t="s">
        <v>95</v>
      </c>
      <c r="C46" s="15" t="s">
        <v>303</v>
      </c>
      <c r="D46" s="86">
        <v>0</v>
      </c>
      <c r="E46" s="88" t="s">
        <v>210</v>
      </c>
      <c r="F46" s="1"/>
      <c r="I46" s="3"/>
    </row>
    <row r="47" spans="1:20" x14ac:dyDescent="0.25">
      <c r="A47" s="46" t="s">
        <v>96</v>
      </c>
      <c r="B47" s="70" t="s">
        <v>97</v>
      </c>
      <c r="C47" s="15" t="s">
        <v>304</v>
      </c>
      <c r="D47" s="86">
        <v>0</v>
      </c>
      <c r="E47" s="88" t="s">
        <v>211</v>
      </c>
      <c r="F47" s="1"/>
      <c r="I47" s="3"/>
      <c r="R47" s="5"/>
      <c r="S47" s="5"/>
      <c r="T47" s="5"/>
    </row>
    <row r="48" spans="1:20" ht="30" x14ac:dyDescent="0.25">
      <c r="A48" s="46" t="s">
        <v>98</v>
      </c>
      <c r="B48" s="70" t="s">
        <v>99</v>
      </c>
      <c r="C48" s="14" t="s">
        <v>100</v>
      </c>
      <c r="D48" s="87">
        <v>0</v>
      </c>
      <c r="E48" s="89" t="s">
        <v>212</v>
      </c>
      <c r="F48" s="1"/>
      <c r="I48" s="3"/>
      <c r="O48" s="5"/>
      <c r="P48" s="5"/>
    </row>
    <row r="49" spans="1:20" ht="15.75" thickBot="1" x14ac:dyDescent="0.3">
      <c r="A49" s="48" t="s">
        <v>101</v>
      </c>
      <c r="B49" s="78" t="s">
        <v>102</v>
      </c>
      <c r="C49" s="50" t="s">
        <v>103</v>
      </c>
      <c r="D49" s="79">
        <v>0</v>
      </c>
      <c r="E49" s="51" t="s">
        <v>213</v>
      </c>
      <c r="F49" s="1"/>
      <c r="I49" s="3"/>
      <c r="N49" s="5"/>
      <c r="Q49" s="5"/>
    </row>
    <row r="50" spans="1:20" x14ac:dyDescent="0.25">
      <c r="C50" s="10"/>
      <c r="D50" s="10"/>
      <c r="E50" s="10"/>
      <c r="F50" s="1"/>
      <c r="I50" s="3"/>
    </row>
    <row r="51" spans="1:20" s="5" customFormat="1" x14ac:dyDescent="0.25">
      <c r="A51"/>
      <c r="B51"/>
      <c r="C51" s="31"/>
      <c r="D51" s="32"/>
      <c r="E51" s="32"/>
      <c r="F51" s="1"/>
      <c r="I51" s="4"/>
      <c r="N51"/>
      <c r="O51"/>
      <c r="P51"/>
      <c r="Q51"/>
      <c r="R51"/>
      <c r="S51"/>
      <c r="T51"/>
    </row>
    <row r="52" spans="1:20" x14ac:dyDescent="0.25">
      <c r="F52" s="1"/>
      <c r="I52" s="3"/>
      <c r="O52" s="5"/>
      <c r="P52" s="5"/>
    </row>
    <row r="53" spans="1:20" x14ac:dyDescent="0.25">
      <c r="F53" s="1"/>
      <c r="I53" s="3"/>
      <c r="N53" s="5"/>
      <c r="O53" s="5"/>
      <c r="P53" s="5"/>
    </row>
    <row r="54" spans="1:20" x14ac:dyDescent="0.25">
      <c r="F54" s="1"/>
      <c r="I54" s="3"/>
      <c r="N54" s="5"/>
      <c r="O54" s="5"/>
      <c r="P54" s="5"/>
    </row>
    <row r="55" spans="1:20" x14ac:dyDescent="0.25">
      <c r="F55" s="1"/>
      <c r="I55" s="3"/>
      <c r="N55" s="5"/>
      <c r="O55" s="5"/>
      <c r="P55" s="5"/>
      <c r="R55" s="5"/>
      <c r="S55" s="5"/>
      <c r="T55" s="5"/>
    </row>
    <row r="56" spans="1:20" x14ac:dyDescent="0.25">
      <c r="F56" s="1"/>
      <c r="I56" s="3"/>
      <c r="N56" s="5"/>
    </row>
    <row r="57" spans="1:20" x14ac:dyDescent="0.25">
      <c r="F57" s="1"/>
      <c r="I57" s="3"/>
      <c r="Q57" s="5"/>
    </row>
    <row r="58" spans="1:20" x14ac:dyDescent="0.25">
      <c r="F58" s="1"/>
      <c r="I58" s="3"/>
    </row>
    <row r="59" spans="1:20" s="5" customFormat="1" x14ac:dyDescent="0.25">
      <c r="A59"/>
      <c r="B59"/>
      <c r="C59"/>
      <c r="D59"/>
      <c r="E59"/>
      <c r="F59" s="1"/>
      <c r="I59" s="4"/>
      <c r="N59"/>
      <c r="O59"/>
      <c r="P59"/>
      <c r="Q59"/>
    </row>
    <row r="60" spans="1:20" x14ac:dyDescent="0.25">
      <c r="F60" s="1"/>
      <c r="I60" s="3"/>
      <c r="R60" s="5"/>
      <c r="S60" s="5"/>
      <c r="T60" s="5"/>
    </row>
    <row r="61" spans="1:20" x14ac:dyDescent="0.25">
      <c r="F61" s="1"/>
      <c r="I61" s="3"/>
      <c r="O61" s="5"/>
      <c r="P61" s="5"/>
      <c r="Q61" s="5"/>
      <c r="R61" s="5"/>
      <c r="S61" s="5"/>
      <c r="T61" s="5"/>
    </row>
    <row r="62" spans="1:20" x14ac:dyDescent="0.25">
      <c r="F62" s="1"/>
      <c r="I62" s="3"/>
      <c r="N62" s="5"/>
      <c r="Q62" s="5"/>
      <c r="R62" s="5"/>
      <c r="S62" s="5"/>
      <c r="T62" s="5"/>
    </row>
    <row r="63" spans="1:20" s="5" customFormat="1" x14ac:dyDescent="0.25">
      <c r="A63"/>
      <c r="B63"/>
      <c r="C63"/>
      <c r="D63"/>
      <c r="E63"/>
      <c r="F63" s="1"/>
      <c r="I63" s="4"/>
      <c r="N63"/>
      <c r="O63"/>
      <c r="P63"/>
    </row>
    <row r="64" spans="1:20" s="5" customFormat="1" x14ac:dyDescent="0.25">
      <c r="A64"/>
      <c r="B64"/>
      <c r="C64"/>
      <c r="D64"/>
      <c r="E64"/>
      <c r="F64" s="1"/>
      <c r="I64" s="4"/>
      <c r="N64"/>
      <c r="O64"/>
      <c r="P64"/>
    </row>
    <row r="65" spans="1:20" s="5" customFormat="1" x14ac:dyDescent="0.25">
      <c r="A65"/>
      <c r="B65"/>
      <c r="C65"/>
      <c r="D65"/>
      <c r="E65"/>
      <c r="F65" s="1"/>
      <c r="I65" s="4"/>
      <c r="N65"/>
      <c r="O65"/>
      <c r="P65"/>
      <c r="R65"/>
      <c r="S65"/>
      <c r="T65"/>
    </row>
    <row r="66" spans="1:20" s="5" customFormat="1" x14ac:dyDescent="0.25">
      <c r="A66"/>
      <c r="B66"/>
      <c r="C66"/>
      <c r="D66"/>
      <c r="E66"/>
      <c r="F66" s="73"/>
      <c r="I66" s="4"/>
      <c r="N66"/>
      <c r="O66"/>
      <c r="P66"/>
      <c r="R66"/>
      <c r="S66"/>
      <c r="T66"/>
    </row>
    <row r="67" spans="1:20" s="5" customFormat="1" x14ac:dyDescent="0.25">
      <c r="A67"/>
      <c r="B67"/>
      <c r="C67"/>
      <c r="D67"/>
      <c r="E67"/>
      <c r="F67" s="1"/>
      <c r="I67" s="4"/>
      <c r="N67"/>
      <c r="O67"/>
      <c r="P67"/>
      <c r="Q67"/>
    </row>
    <row r="68" spans="1:20" s="5" customFormat="1" x14ac:dyDescent="0.25">
      <c r="A68"/>
      <c r="B68"/>
      <c r="C68"/>
      <c r="D68"/>
      <c r="E68"/>
      <c r="F68" s="1"/>
      <c r="I68" s="4"/>
      <c r="N68"/>
      <c r="O68"/>
      <c r="P68"/>
      <c r="Q68"/>
    </row>
    <row r="69" spans="1:20" x14ac:dyDescent="0.25">
      <c r="F69" s="1"/>
      <c r="I69" s="3"/>
      <c r="O69" s="5"/>
      <c r="P69" s="5"/>
      <c r="Q69" s="5"/>
    </row>
    <row r="70" spans="1:20" x14ac:dyDescent="0.25">
      <c r="F70" s="1"/>
      <c r="I70" s="3"/>
      <c r="M70" s="44"/>
      <c r="N70" s="5"/>
      <c r="Q70" s="5"/>
    </row>
    <row r="71" spans="1:20" s="5" customFormat="1" x14ac:dyDescent="0.25">
      <c r="A71"/>
      <c r="B71"/>
      <c r="C71"/>
      <c r="D71"/>
      <c r="E71"/>
      <c r="F71" s="1"/>
      <c r="I71" s="4"/>
      <c r="N71"/>
      <c r="O71"/>
      <c r="P71"/>
      <c r="Q71"/>
      <c r="R71"/>
      <c r="S71"/>
      <c r="T71"/>
    </row>
    <row r="72" spans="1:20" s="5" customFormat="1" x14ac:dyDescent="0.25">
      <c r="A72"/>
      <c r="B72"/>
      <c r="C72"/>
      <c r="D72"/>
      <c r="E72"/>
      <c r="F72" s="1"/>
      <c r="I72" s="4"/>
      <c r="N72"/>
      <c r="O72"/>
      <c r="P72"/>
      <c r="Q72"/>
      <c r="R72"/>
      <c r="S72"/>
      <c r="T72"/>
    </row>
    <row r="73" spans="1:20" x14ac:dyDescent="0.25">
      <c r="F73" s="1"/>
      <c r="I73" s="3"/>
      <c r="O73" s="5"/>
      <c r="P73" s="5"/>
    </row>
    <row r="74" spans="1:20" x14ac:dyDescent="0.25">
      <c r="F74" s="1"/>
      <c r="I74" s="3"/>
      <c r="N74" s="5"/>
      <c r="O74" s="5"/>
      <c r="P74" s="5"/>
      <c r="R74" s="5"/>
      <c r="S74" s="5"/>
      <c r="T74" s="5"/>
    </row>
    <row r="75" spans="1:20" x14ac:dyDescent="0.25">
      <c r="F75" s="1"/>
      <c r="I75" s="3"/>
      <c r="N75" s="5"/>
      <c r="O75" s="5"/>
      <c r="P75" s="5"/>
      <c r="R75" s="5"/>
      <c r="S75" s="5"/>
      <c r="T75" s="5"/>
    </row>
    <row r="76" spans="1:20" x14ac:dyDescent="0.25">
      <c r="F76" s="1"/>
      <c r="I76" s="3"/>
      <c r="N76" s="5"/>
      <c r="O76" s="5"/>
      <c r="P76" s="5"/>
      <c r="Q76" s="5"/>
      <c r="R76" s="5"/>
      <c r="S76" s="5"/>
      <c r="T76" s="5"/>
    </row>
    <row r="77" spans="1:20" x14ac:dyDescent="0.25">
      <c r="F77" s="1"/>
      <c r="I77" s="3"/>
      <c r="N77" s="5"/>
      <c r="O77" s="5"/>
      <c r="P77" s="5"/>
      <c r="Q77" s="5"/>
      <c r="R77" s="5"/>
      <c r="S77" s="5"/>
      <c r="T77" s="5"/>
    </row>
    <row r="78" spans="1:20" s="5" customFormat="1" x14ac:dyDescent="0.25">
      <c r="A78"/>
      <c r="B78"/>
      <c r="C78"/>
      <c r="D78"/>
      <c r="E78"/>
      <c r="F78" s="1"/>
      <c r="I78" s="4"/>
    </row>
    <row r="79" spans="1:20" s="5" customFormat="1" x14ac:dyDescent="0.25">
      <c r="A79"/>
      <c r="B79"/>
      <c r="C79"/>
      <c r="D79"/>
      <c r="E79"/>
      <c r="F79" s="1"/>
      <c r="I79" s="4"/>
      <c r="O79"/>
      <c r="P79"/>
    </row>
    <row r="80" spans="1:20" s="5" customFormat="1" x14ac:dyDescent="0.25">
      <c r="A80"/>
      <c r="B80"/>
      <c r="C80"/>
      <c r="D80"/>
      <c r="E80"/>
      <c r="F80" s="1"/>
      <c r="I80" s="4"/>
      <c r="N80"/>
      <c r="O80"/>
      <c r="P80"/>
    </row>
    <row r="81" spans="1:20" s="5" customFormat="1" x14ac:dyDescent="0.25">
      <c r="A81"/>
      <c r="B81"/>
      <c r="C81"/>
      <c r="D81"/>
      <c r="E81"/>
      <c r="F81" s="1"/>
      <c r="I81" s="4"/>
      <c r="N81"/>
      <c r="R81"/>
      <c r="S81"/>
      <c r="T81"/>
    </row>
    <row r="82" spans="1:20" s="5" customFormat="1" x14ac:dyDescent="0.25">
      <c r="A82"/>
      <c r="B82"/>
      <c r="C82"/>
      <c r="D82"/>
      <c r="E82"/>
      <c r="F82" s="1"/>
      <c r="I82" s="4"/>
      <c r="R82"/>
      <c r="S82"/>
      <c r="T82"/>
    </row>
    <row r="83" spans="1:20" s="5" customFormat="1" x14ac:dyDescent="0.25">
      <c r="A83"/>
      <c r="B83"/>
      <c r="C83"/>
      <c r="D83"/>
      <c r="E83"/>
      <c r="F83" s="1"/>
      <c r="I83" s="4"/>
      <c r="O83"/>
      <c r="P83"/>
      <c r="Q83"/>
    </row>
    <row r="84" spans="1:20" s="5" customFormat="1" x14ac:dyDescent="0.25">
      <c r="A84"/>
      <c r="B84"/>
      <c r="C84"/>
      <c r="D84"/>
      <c r="E84"/>
      <c r="F84" s="1"/>
      <c r="I84" s="4"/>
      <c r="N84"/>
      <c r="O84"/>
      <c r="P84"/>
      <c r="Q84"/>
    </row>
    <row r="85" spans="1:20" x14ac:dyDescent="0.25">
      <c r="F85" s="1"/>
      <c r="I85" s="3"/>
      <c r="Q85" s="5"/>
    </row>
    <row r="86" spans="1:20" x14ac:dyDescent="0.25">
      <c r="F86" s="1"/>
      <c r="I86" s="3"/>
      <c r="Q86" s="5"/>
    </row>
    <row r="87" spans="1:20" s="5" customFormat="1" x14ac:dyDescent="0.25">
      <c r="A87"/>
      <c r="B87"/>
      <c r="C87"/>
      <c r="D87"/>
      <c r="E87"/>
      <c r="F87" s="1"/>
      <c r="I87" s="4"/>
      <c r="N87"/>
      <c r="O87"/>
      <c r="P87"/>
      <c r="Q87"/>
      <c r="R87"/>
      <c r="S87"/>
      <c r="T87"/>
    </row>
    <row r="88" spans="1:20" s="5" customFormat="1" x14ac:dyDescent="0.25">
      <c r="A88"/>
      <c r="B88"/>
      <c r="C88"/>
      <c r="D88"/>
      <c r="E88"/>
      <c r="F88" s="1"/>
      <c r="I88" s="4"/>
      <c r="N88"/>
      <c r="Q88"/>
    </row>
    <row r="89" spans="1:20" x14ac:dyDescent="0.25">
      <c r="F89" s="1"/>
      <c r="I89" s="3"/>
      <c r="N89" s="5"/>
      <c r="O89" s="5"/>
      <c r="P89" s="5"/>
    </row>
    <row r="90" spans="1:20" x14ac:dyDescent="0.25">
      <c r="F90" s="1"/>
      <c r="I90" s="3"/>
      <c r="N90" s="5"/>
      <c r="O90" s="5"/>
      <c r="P90" s="5"/>
      <c r="Q90" s="5"/>
    </row>
    <row r="91" spans="1:20" x14ac:dyDescent="0.25">
      <c r="F91" s="1"/>
      <c r="I91" s="3"/>
      <c r="N91" s="5"/>
      <c r="O91" s="5"/>
      <c r="P91" s="5"/>
    </row>
    <row r="92" spans="1:20" s="5" customFormat="1" x14ac:dyDescent="0.25">
      <c r="A92"/>
      <c r="B92"/>
      <c r="C92"/>
      <c r="D92"/>
      <c r="E92"/>
      <c r="F92" s="1"/>
      <c r="I92" s="4"/>
      <c r="Q92"/>
    </row>
    <row r="93" spans="1:20" x14ac:dyDescent="0.25">
      <c r="F93" s="1"/>
      <c r="I93" s="3"/>
      <c r="N93" s="5"/>
      <c r="O93" s="5"/>
      <c r="P93" s="5"/>
      <c r="R93" s="7"/>
      <c r="S93" s="7"/>
      <c r="T93" s="7"/>
    </row>
    <row r="94" spans="1:20" x14ac:dyDescent="0.25">
      <c r="F94" s="1"/>
      <c r="I94" s="3"/>
      <c r="N94" s="5"/>
      <c r="O94" s="5"/>
      <c r="P94" s="5"/>
      <c r="Q94" s="5"/>
      <c r="R94" s="5"/>
      <c r="S94" s="5"/>
      <c r="T94" s="5"/>
    </row>
    <row r="95" spans="1:20" x14ac:dyDescent="0.25">
      <c r="F95" s="1"/>
      <c r="I95" s="3"/>
      <c r="N95" s="5"/>
      <c r="Q95" s="7"/>
      <c r="R95" s="5"/>
      <c r="S95" s="5"/>
      <c r="T95" s="5"/>
    </row>
    <row r="96" spans="1:20" s="5" customFormat="1" x14ac:dyDescent="0.25">
      <c r="A96"/>
      <c r="B96"/>
      <c r="C96"/>
      <c r="D96"/>
      <c r="E96"/>
      <c r="F96" s="1"/>
      <c r="I96" s="4"/>
      <c r="N96"/>
      <c r="O96"/>
      <c r="P96"/>
      <c r="R96"/>
      <c r="S96"/>
      <c r="T96"/>
    </row>
    <row r="97" spans="1:20" s="7" customFormat="1" x14ac:dyDescent="0.25">
      <c r="A97"/>
      <c r="B97"/>
      <c r="C97"/>
      <c r="D97"/>
      <c r="E97"/>
      <c r="F97" s="74"/>
      <c r="I97" s="8"/>
      <c r="N97"/>
      <c r="O97" s="5"/>
      <c r="P97" s="5"/>
      <c r="Q97" s="5"/>
      <c r="R97"/>
      <c r="S97"/>
      <c r="T97"/>
    </row>
    <row r="98" spans="1:20" s="5" customFormat="1" x14ac:dyDescent="0.25">
      <c r="A98"/>
      <c r="B98"/>
      <c r="C98"/>
      <c r="D98"/>
      <c r="E98"/>
      <c r="F98" s="1"/>
      <c r="I98" s="4"/>
      <c r="Q98"/>
      <c r="R98"/>
      <c r="S98"/>
      <c r="T98"/>
    </row>
    <row r="99" spans="1:20" s="5" customFormat="1" x14ac:dyDescent="0.25">
      <c r="A99"/>
      <c r="B99"/>
      <c r="C99"/>
      <c r="D99"/>
      <c r="E99"/>
      <c r="F99" s="1"/>
      <c r="I99" s="4"/>
      <c r="O99"/>
      <c r="P99"/>
      <c r="Q99"/>
    </row>
    <row r="100" spans="1:20" x14ac:dyDescent="0.25">
      <c r="F100" s="1"/>
      <c r="I100" s="3"/>
    </row>
    <row r="101" spans="1:20" x14ac:dyDescent="0.25">
      <c r="F101" s="1"/>
      <c r="I101" s="3"/>
      <c r="Q101" s="5"/>
    </row>
    <row r="102" spans="1:20" x14ac:dyDescent="0.25">
      <c r="F102" s="1"/>
      <c r="I102" s="3"/>
      <c r="O102" s="5"/>
      <c r="P102" s="5"/>
    </row>
    <row r="103" spans="1:20" s="5" customFormat="1" x14ac:dyDescent="0.25">
      <c r="A103"/>
      <c r="B103"/>
      <c r="C103"/>
      <c r="D103"/>
      <c r="E103"/>
      <c r="F103" s="1"/>
      <c r="G103" s="58"/>
      <c r="I103" s="4"/>
      <c r="O103"/>
      <c r="P103"/>
      <c r="Q103"/>
    </row>
    <row r="104" spans="1:20" x14ac:dyDescent="0.25">
      <c r="F104" s="1"/>
      <c r="I104" s="3"/>
    </row>
    <row r="105" spans="1:20" x14ac:dyDescent="0.25">
      <c r="F105" s="1"/>
      <c r="I105" s="3"/>
      <c r="Q105" s="5"/>
    </row>
    <row r="106" spans="1:20" x14ac:dyDescent="0.25">
      <c r="F106" s="1"/>
      <c r="I106" s="3"/>
      <c r="O106" s="5"/>
      <c r="P106" s="5"/>
    </row>
    <row r="107" spans="1:20" s="5" customFormat="1" x14ac:dyDescent="0.25">
      <c r="A107"/>
      <c r="B107"/>
      <c r="C107"/>
      <c r="D107"/>
      <c r="E107"/>
      <c r="F107" s="1"/>
      <c r="I107" s="4"/>
      <c r="O107" s="7"/>
      <c r="P107" s="7"/>
      <c r="Q107"/>
      <c r="R107"/>
      <c r="S107"/>
      <c r="T107"/>
    </row>
    <row r="108" spans="1:20" x14ac:dyDescent="0.25">
      <c r="F108" s="1"/>
      <c r="I108" s="3"/>
      <c r="N108" s="7"/>
      <c r="O108" s="5"/>
      <c r="P108" s="5"/>
    </row>
    <row r="109" spans="1:20" x14ac:dyDescent="0.25">
      <c r="N109" s="5"/>
      <c r="O109" s="5"/>
      <c r="P109" s="5"/>
    </row>
    <row r="110" spans="1:20" x14ac:dyDescent="0.25">
      <c r="N110" s="5"/>
    </row>
    <row r="113" spans="14:16" x14ac:dyDescent="0.25">
      <c r="O113" s="5"/>
      <c r="P113" s="5"/>
    </row>
    <row r="114" spans="14:16" x14ac:dyDescent="0.25">
      <c r="N114" s="5"/>
    </row>
    <row r="117" spans="14:16" x14ac:dyDescent="0.25">
      <c r="O117" s="5"/>
      <c r="P117" s="5"/>
    </row>
    <row r="118" spans="14:16" x14ac:dyDescent="0.25">
      <c r="N118" s="5"/>
    </row>
  </sheetData>
  <sheetProtection algorithmName="SHA-512" hashValue="jhKLOCJlT7czCWidKfBL/Gb6YoOrfbPuoiBqn2PK3hslWw+fFCK69VFGZkn6X/3MljoEmvjksJSOaTe7PKx54g==" saltValue="NoV0I1e1orPZr2TAwTkzHA==" spinCount="100000" sheet="1" objects="1" scenarios="1"/>
  <mergeCells count="13">
    <mergeCell ref="G6:H6"/>
    <mergeCell ref="D4:E4"/>
    <mergeCell ref="D5:E5"/>
    <mergeCell ref="C7:E7"/>
    <mergeCell ref="G5:H5"/>
    <mergeCell ref="C8:E8"/>
    <mergeCell ref="A10:A11"/>
    <mergeCell ref="C10:C11"/>
    <mergeCell ref="D10:E10"/>
    <mergeCell ref="C1:E1"/>
    <mergeCell ref="D3:E3"/>
    <mergeCell ref="B10:B11"/>
    <mergeCell ref="D6:E6"/>
  </mergeCells>
  <conditionalFormatting sqref="A12:B49 F109:G290">
    <cfRule type="expression" dxfId="9" priority="10" stopIfTrue="1">
      <formula>#REF!=1</formula>
    </cfRule>
  </conditionalFormatting>
  <conditionalFormatting sqref="C12:E231">
    <cfRule type="expression" dxfId="8" priority="3" stopIfTrue="1">
      <formula>#REF!=1</formula>
    </cfRule>
  </conditionalFormatting>
  <conditionalFormatting sqref="D12:E49">
    <cfRule type="expression" dxfId="7" priority="4">
      <formula>#REF!=2</formula>
    </cfRule>
  </conditionalFormatting>
  <conditionalFormatting sqref="D29:E29">
    <cfRule type="cellIs" dxfId="6" priority="11" operator="lessThan">
      <formula>0</formula>
    </cfRule>
  </conditionalFormatting>
  <conditionalFormatting sqref="F109:G194">
    <cfRule type="expression" dxfId="5" priority="15">
      <formula>#REF!=2</formula>
    </cfRule>
  </conditionalFormatting>
  <conditionalFormatting sqref="G8">
    <cfRule type="expression" dxfId="4" priority="79">
      <formula>$D$12&lt;&gt;$D$28</formula>
    </cfRule>
    <cfRule type="expression" dxfId="3" priority="80">
      <formula>$D$12=$D$28</formula>
    </cfRule>
  </conditionalFormatting>
  <pageMargins left="0.7" right="0.7" top="0.75" bottom="0.75" header="0.3" footer="0.3"/>
  <pageSetup paperSize="9" fitToHeight="0" orientation="portrait" r:id="rId1"/>
  <headerFooter>
    <oddHeader>&amp;L&amp;"Century Gothic,Regular"&amp;08&amp;K203864PUBLIC</oddHeader>
    <evenHeader>&amp;L&amp;"Century Gothic,Regular"&amp;08&amp;K203864PUBLIC</evenHeader>
    <firstHeader>&amp;L&amp;"Century Gothic,Regular"&amp;08&amp;K203864PUBLIC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9E329-241B-460C-998B-ECB28B88AF56}">
  <sheetPr>
    <pageSetUpPr autoPageBreaks="0" fitToPage="1"/>
  </sheetPr>
  <dimension ref="A1:I86"/>
  <sheetViews>
    <sheetView showGridLines="0" tabSelected="1" topLeftCell="A13" workbookViewId="0">
      <selection activeCell="F23" sqref="F23"/>
    </sheetView>
  </sheetViews>
  <sheetFormatPr defaultRowHeight="15" x14ac:dyDescent="0.25"/>
  <cols>
    <col min="1" max="1" width="8.7109375" customWidth="1"/>
    <col min="2" max="2" width="15.5703125" bestFit="1" customWidth="1"/>
    <col min="3" max="3" width="50.7109375" customWidth="1"/>
    <col min="4" max="5" width="15.7109375" customWidth="1"/>
    <col min="6" max="6" width="16.85546875" style="26" customWidth="1"/>
    <col min="7" max="7" width="16.85546875" customWidth="1"/>
    <col min="8" max="8" width="1.85546875" customWidth="1"/>
  </cols>
  <sheetData>
    <row r="1" spans="1:9" x14ac:dyDescent="0.25">
      <c r="C1" s="130" t="s">
        <v>0</v>
      </c>
      <c r="D1" s="130"/>
      <c r="E1" s="130"/>
    </row>
    <row r="2" spans="1:9" s="39" customFormat="1" x14ac:dyDescent="0.25">
      <c r="C2" s="37"/>
      <c r="D2" s="37"/>
      <c r="E2" s="37"/>
      <c r="F2" s="38"/>
    </row>
    <row r="3" spans="1:9" s="39" customFormat="1" x14ac:dyDescent="0.25">
      <c r="C3" s="35" t="s">
        <v>1</v>
      </c>
      <c r="D3" s="117">
        <f>+BS!D3</f>
        <v>0</v>
      </c>
      <c r="E3" s="118"/>
      <c r="F3" s="132"/>
    </row>
    <row r="4" spans="1:9" s="39" customFormat="1" x14ac:dyDescent="0.25">
      <c r="C4" s="35" t="s">
        <v>2</v>
      </c>
      <c r="D4" s="123">
        <f>+BS!D4</f>
        <v>0</v>
      </c>
      <c r="E4" s="118"/>
      <c r="F4" s="132"/>
    </row>
    <row r="5" spans="1:9" s="39" customFormat="1" x14ac:dyDescent="0.25">
      <c r="C5" s="35" t="s">
        <v>3</v>
      </c>
      <c r="D5" s="125">
        <f>+BS!D5</f>
        <v>0</v>
      </c>
      <c r="E5" s="120"/>
      <c r="F5" s="132"/>
    </row>
    <row r="6" spans="1:9" x14ac:dyDescent="0.25">
      <c r="F6" s="2"/>
      <c r="G6" s="1"/>
      <c r="H6" s="1"/>
    </row>
    <row r="7" spans="1:9" ht="23.1" customHeight="1" x14ac:dyDescent="0.35">
      <c r="C7" s="126" t="s">
        <v>104</v>
      </c>
      <c r="D7" s="126"/>
      <c r="E7" s="126"/>
      <c r="F7" s="27"/>
      <c r="G7" s="6"/>
      <c r="H7" s="1"/>
    </row>
    <row r="8" spans="1:9" ht="15" customHeight="1" x14ac:dyDescent="0.25">
      <c r="C8" s="109" t="s">
        <v>105</v>
      </c>
      <c r="D8" s="109"/>
      <c r="E8" s="109"/>
      <c r="F8" s="2"/>
      <c r="G8" s="36"/>
      <c r="H8" s="1"/>
    </row>
    <row r="9" spans="1:9" ht="23.25" customHeight="1" thickBot="1" x14ac:dyDescent="0.3">
      <c r="C9" s="11"/>
      <c r="D9" s="11"/>
      <c r="E9" s="12" t="s">
        <v>8</v>
      </c>
      <c r="F9" s="2"/>
      <c r="H9" s="1"/>
    </row>
    <row r="10" spans="1:9" s="10" customFormat="1" x14ac:dyDescent="0.25">
      <c r="A10" s="127" t="s">
        <v>143</v>
      </c>
      <c r="B10" s="110" t="s">
        <v>10</v>
      </c>
      <c r="C10" s="112" t="s">
        <v>11</v>
      </c>
      <c r="D10" s="114" t="s">
        <v>12</v>
      </c>
      <c r="E10" s="115"/>
      <c r="F10" s="28"/>
    </row>
    <row r="11" spans="1:9" s="10" customFormat="1" x14ac:dyDescent="0.25">
      <c r="A11" s="128"/>
      <c r="B11" s="131"/>
      <c r="C11" s="129"/>
      <c r="D11" s="57">
        <v>46022</v>
      </c>
      <c r="E11" s="102" t="s">
        <v>225</v>
      </c>
      <c r="F11" s="30"/>
      <c r="G11" s="40"/>
    </row>
    <row r="12" spans="1:9" s="23" customFormat="1" x14ac:dyDescent="0.25">
      <c r="A12" s="46">
        <v>110</v>
      </c>
      <c r="B12" s="70" t="s">
        <v>106</v>
      </c>
      <c r="C12" s="13" t="s">
        <v>232</v>
      </c>
      <c r="D12" s="106">
        <v>0</v>
      </c>
      <c r="E12" s="89" t="s">
        <v>229</v>
      </c>
      <c r="F12" s="103"/>
      <c r="I12" s="24"/>
    </row>
    <row r="13" spans="1:9" s="23" customFormat="1" ht="30" x14ac:dyDescent="0.25">
      <c r="A13" s="47" t="s">
        <v>134</v>
      </c>
      <c r="B13" s="70" t="s">
        <v>144</v>
      </c>
      <c r="C13" s="13" t="s">
        <v>231</v>
      </c>
      <c r="D13" s="106">
        <v>0</v>
      </c>
      <c r="E13" s="89" t="s">
        <v>230</v>
      </c>
      <c r="F13" s="29"/>
      <c r="I13" s="24"/>
    </row>
    <row r="14" spans="1:9" s="10" customFormat="1" ht="30" x14ac:dyDescent="0.2">
      <c r="A14" s="46">
        <v>123</v>
      </c>
      <c r="B14" s="70" t="s">
        <v>107</v>
      </c>
      <c r="C14" s="13" t="s">
        <v>233</v>
      </c>
      <c r="D14" s="56">
        <v>0</v>
      </c>
      <c r="E14" s="21" t="s">
        <v>234</v>
      </c>
      <c r="F14" s="29"/>
      <c r="I14" s="25"/>
    </row>
    <row r="15" spans="1:9" s="10" customFormat="1" x14ac:dyDescent="0.2">
      <c r="A15" s="46">
        <v>125</v>
      </c>
      <c r="B15" s="70" t="s">
        <v>236</v>
      </c>
      <c r="C15" s="13" t="s">
        <v>235</v>
      </c>
      <c r="D15" s="56">
        <v>0</v>
      </c>
      <c r="E15" s="21" t="s">
        <v>237</v>
      </c>
      <c r="F15" s="29"/>
      <c r="I15" s="25"/>
    </row>
    <row r="16" spans="1:9" s="23" customFormat="1" x14ac:dyDescent="0.25">
      <c r="A16" s="46">
        <v>126</v>
      </c>
      <c r="B16" s="70" t="s">
        <v>108</v>
      </c>
      <c r="C16" s="13" t="s">
        <v>263</v>
      </c>
      <c r="D16" s="17">
        <f>++D12+D13+D14+D15</f>
        <v>0</v>
      </c>
      <c r="E16" s="18" t="s">
        <v>228</v>
      </c>
      <c r="F16" s="29" t="s">
        <v>227</v>
      </c>
      <c r="I16" s="24"/>
    </row>
    <row r="17" spans="1:9" s="10" customFormat="1" x14ac:dyDescent="0.2">
      <c r="A17" s="46">
        <v>127</v>
      </c>
      <c r="B17" s="70" t="s">
        <v>109</v>
      </c>
      <c r="C17" s="13" t="s">
        <v>264</v>
      </c>
      <c r="D17" s="17">
        <f>+D18+D19+D20+D24</f>
        <v>0</v>
      </c>
      <c r="E17" s="18" t="s">
        <v>239</v>
      </c>
      <c r="F17" s="29" t="s">
        <v>238</v>
      </c>
      <c r="I17" s="25"/>
    </row>
    <row r="18" spans="1:9" s="10" customFormat="1" x14ac:dyDescent="0.2">
      <c r="A18" s="46">
        <v>128</v>
      </c>
      <c r="B18" s="70" t="s">
        <v>110</v>
      </c>
      <c r="C18" s="14" t="s">
        <v>241</v>
      </c>
      <c r="D18" s="106">
        <v>0</v>
      </c>
      <c r="E18" s="88" t="s">
        <v>240</v>
      </c>
      <c r="F18" s="29"/>
      <c r="I18" s="25"/>
    </row>
    <row r="19" spans="1:9" s="10" customFormat="1" x14ac:dyDescent="0.2">
      <c r="A19" s="46">
        <v>139</v>
      </c>
      <c r="B19" s="70" t="s">
        <v>111</v>
      </c>
      <c r="C19" s="14" t="s">
        <v>243</v>
      </c>
      <c r="D19" s="106">
        <v>0</v>
      </c>
      <c r="E19" s="88" t="s">
        <v>242</v>
      </c>
      <c r="F19" s="29"/>
      <c r="I19" s="25"/>
    </row>
    <row r="20" spans="1:9" s="23" customFormat="1" x14ac:dyDescent="0.25">
      <c r="A20" s="46">
        <v>144</v>
      </c>
      <c r="B20" s="70" t="s">
        <v>112</v>
      </c>
      <c r="C20" s="14" t="s">
        <v>244</v>
      </c>
      <c r="D20" s="104">
        <f>+D21+D22+D23</f>
        <v>0</v>
      </c>
      <c r="E20" s="22" t="s">
        <v>246</v>
      </c>
      <c r="F20" s="29" t="s">
        <v>245</v>
      </c>
      <c r="I20" s="24"/>
    </row>
    <row r="21" spans="1:9" s="23" customFormat="1" x14ac:dyDescent="0.25">
      <c r="A21" s="46">
        <v>145</v>
      </c>
      <c r="B21" s="70" t="s">
        <v>113</v>
      </c>
      <c r="C21" s="19" t="s">
        <v>114</v>
      </c>
      <c r="D21" s="54">
        <v>0</v>
      </c>
      <c r="E21" s="20" t="s">
        <v>248</v>
      </c>
      <c r="F21" s="29"/>
      <c r="I21" s="24"/>
    </row>
    <row r="22" spans="1:9" s="23" customFormat="1" ht="42.75" x14ac:dyDescent="0.25">
      <c r="A22" s="46">
        <v>146</v>
      </c>
      <c r="B22" s="70" t="s">
        <v>115</v>
      </c>
      <c r="C22" s="19" t="s">
        <v>116</v>
      </c>
      <c r="D22" s="54">
        <v>0</v>
      </c>
      <c r="E22" s="20" t="s">
        <v>247</v>
      </c>
      <c r="F22" s="29"/>
      <c r="I22" s="24"/>
    </row>
    <row r="23" spans="1:9" s="23" customFormat="1" ht="28.5" x14ac:dyDescent="0.25">
      <c r="A23" s="46">
        <v>147</v>
      </c>
      <c r="B23" s="70" t="s">
        <v>117</v>
      </c>
      <c r="C23" s="19" t="s">
        <v>118</v>
      </c>
      <c r="D23" s="54">
        <v>0</v>
      </c>
      <c r="E23" s="20" t="s">
        <v>249</v>
      </c>
      <c r="F23" s="29"/>
      <c r="I23" s="24"/>
    </row>
    <row r="24" spans="1:9" s="23" customFormat="1" x14ac:dyDescent="0.25">
      <c r="A24" s="46">
        <v>148</v>
      </c>
      <c r="B24" s="70" t="s">
        <v>119</v>
      </c>
      <c r="C24" s="19" t="s">
        <v>252</v>
      </c>
      <c r="D24" s="107">
        <v>0</v>
      </c>
      <c r="E24" s="88" t="s">
        <v>250</v>
      </c>
      <c r="F24" s="29"/>
      <c r="I24" s="24"/>
    </row>
    <row r="25" spans="1:9" s="23" customFormat="1" x14ac:dyDescent="0.25">
      <c r="A25" s="46" t="s">
        <v>134</v>
      </c>
      <c r="B25" s="70" t="s">
        <v>141</v>
      </c>
      <c r="C25" s="19" t="s">
        <v>142</v>
      </c>
      <c r="D25" s="104">
        <f>+D26</f>
        <v>0</v>
      </c>
      <c r="E25" s="22" t="s">
        <v>254</v>
      </c>
      <c r="F25" s="29"/>
      <c r="I25" s="24"/>
    </row>
    <row r="26" spans="1:9" s="23" customFormat="1" x14ac:dyDescent="0.25">
      <c r="A26" s="46">
        <v>151</v>
      </c>
      <c r="B26" s="70" t="s">
        <v>120</v>
      </c>
      <c r="C26" s="13" t="s">
        <v>253</v>
      </c>
      <c r="D26" s="17">
        <f>+D16-D17</f>
        <v>0</v>
      </c>
      <c r="E26" s="22" t="s">
        <v>254</v>
      </c>
      <c r="F26" s="29" t="s">
        <v>251</v>
      </c>
      <c r="I26" s="24"/>
    </row>
    <row r="27" spans="1:9" s="10" customFormat="1" x14ac:dyDescent="0.2">
      <c r="A27" s="46">
        <v>153</v>
      </c>
      <c r="B27" s="70" t="s">
        <v>121</v>
      </c>
      <c r="C27" s="13" t="s">
        <v>255</v>
      </c>
      <c r="D27" s="105">
        <f>+D28+D29+D30</f>
        <v>0</v>
      </c>
      <c r="E27" s="18" t="s">
        <v>256</v>
      </c>
      <c r="F27" s="29" t="s">
        <v>265</v>
      </c>
      <c r="I27" s="25"/>
    </row>
    <row r="28" spans="1:9" s="10" customFormat="1" x14ac:dyDescent="0.2">
      <c r="A28" s="46">
        <v>155</v>
      </c>
      <c r="B28" s="70" t="s">
        <v>122</v>
      </c>
      <c r="C28" s="14" t="s">
        <v>259</v>
      </c>
      <c r="D28" s="107">
        <v>0</v>
      </c>
      <c r="E28" s="88" t="s">
        <v>257</v>
      </c>
      <c r="F28" s="29"/>
      <c r="I28" s="25"/>
    </row>
    <row r="29" spans="1:9" s="10" customFormat="1" x14ac:dyDescent="0.2">
      <c r="A29" s="46">
        <v>160</v>
      </c>
      <c r="B29" s="70" t="s">
        <v>123</v>
      </c>
      <c r="C29" s="14" t="s">
        <v>260</v>
      </c>
      <c r="D29" s="107">
        <v>0</v>
      </c>
      <c r="E29" s="88" t="s">
        <v>258</v>
      </c>
      <c r="F29" s="29"/>
      <c r="I29" s="25"/>
    </row>
    <row r="30" spans="1:9" s="10" customFormat="1" x14ac:dyDescent="0.2">
      <c r="A30" s="46">
        <v>163</v>
      </c>
      <c r="B30" s="70" t="s">
        <v>124</v>
      </c>
      <c r="C30" s="14" t="s">
        <v>261</v>
      </c>
      <c r="D30" s="107">
        <v>0</v>
      </c>
      <c r="E30" s="88" t="s">
        <v>262</v>
      </c>
      <c r="F30" s="29"/>
      <c r="I30" s="25"/>
    </row>
    <row r="31" spans="1:9" s="10" customFormat="1" x14ac:dyDescent="0.2">
      <c r="A31" s="46">
        <v>166</v>
      </c>
      <c r="B31" s="70" t="s">
        <v>125</v>
      </c>
      <c r="C31" s="13" t="s">
        <v>266</v>
      </c>
      <c r="D31" s="17">
        <f>D32+D33+D34</f>
        <v>0</v>
      </c>
      <c r="E31" s="18" t="s">
        <v>267</v>
      </c>
      <c r="F31" s="29" t="s">
        <v>272</v>
      </c>
      <c r="I31" s="25"/>
    </row>
    <row r="32" spans="1:9" s="10" customFormat="1" ht="30" x14ac:dyDescent="0.2">
      <c r="A32" s="46">
        <v>168</v>
      </c>
      <c r="B32" s="70" t="s">
        <v>126</v>
      </c>
      <c r="C32" s="14" t="s">
        <v>127</v>
      </c>
      <c r="D32" s="107">
        <v>0</v>
      </c>
      <c r="E32" s="88" t="s">
        <v>273</v>
      </c>
      <c r="F32" s="29"/>
      <c r="I32" s="25"/>
    </row>
    <row r="33" spans="1:9" s="10" customFormat="1" x14ac:dyDescent="0.2">
      <c r="A33" s="46">
        <v>169</v>
      </c>
      <c r="B33" s="70" t="s">
        <v>128</v>
      </c>
      <c r="C33" s="14" t="s">
        <v>268</v>
      </c>
      <c r="D33" s="107">
        <v>0</v>
      </c>
      <c r="E33" s="88" t="s">
        <v>269</v>
      </c>
      <c r="F33" s="29"/>
      <c r="I33" s="25"/>
    </row>
    <row r="34" spans="1:9" s="10" customFormat="1" x14ac:dyDescent="0.2">
      <c r="A34" s="46">
        <v>174</v>
      </c>
      <c r="B34" s="70" t="s">
        <v>129</v>
      </c>
      <c r="C34" s="14" t="s">
        <v>270</v>
      </c>
      <c r="D34" s="107">
        <v>0</v>
      </c>
      <c r="E34" s="88" t="s">
        <v>271</v>
      </c>
      <c r="F34" s="29"/>
      <c r="I34" s="25"/>
    </row>
    <row r="35" spans="1:9" s="10" customFormat="1" x14ac:dyDescent="0.2">
      <c r="A35" s="46">
        <v>178</v>
      </c>
      <c r="B35" s="70" t="s">
        <v>130</v>
      </c>
      <c r="C35" s="13" t="s">
        <v>275</v>
      </c>
      <c r="D35" s="106">
        <v>0</v>
      </c>
      <c r="E35" s="89" t="s">
        <v>274</v>
      </c>
      <c r="F35" s="29"/>
      <c r="I35" s="25"/>
    </row>
    <row r="36" spans="1:9" s="10" customFormat="1" x14ac:dyDescent="0.2">
      <c r="A36" s="46">
        <v>181</v>
      </c>
      <c r="B36" s="70" t="s">
        <v>131</v>
      </c>
      <c r="C36" s="13" t="s">
        <v>276</v>
      </c>
      <c r="D36" s="56">
        <v>0</v>
      </c>
      <c r="E36" s="21" t="s">
        <v>277</v>
      </c>
      <c r="F36" s="29"/>
      <c r="I36" s="25"/>
    </row>
    <row r="37" spans="1:9" s="23" customFormat="1" x14ac:dyDescent="0.25">
      <c r="A37" s="47" t="s">
        <v>134</v>
      </c>
      <c r="B37" s="70" t="s">
        <v>140</v>
      </c>
      <c r="C37" s="13" t="s">
        <v>278</v>
      </c>
      <c r="D37" s="105">
        <f>+D26+D27-D31+D35-D36</f>
        <v>0</v>
      </c>
      <c r="E37" s="18" t="s">
        <v>214</v>
      </c>
      <c r="F37" s="29" t="s">
        <v>279</v>
      </c>
      <c r="I37" s="24"/>
    </row>
    <row r="38" spans="1:9" s="10" customFormat="1" x14ac:dyDescent="0.2">
      <c r="A38" s="46">
        <v>184</v>
      </c>
      <c r="B38" s="70" t="s">
        <v>132</v>
      </c>
      <c r="C38" s="13" t="s">
        <v>280</v>
      </c>
      <c r="D38" s="56">
        <v>0</v>
      </c>
      <c r="E38" s="21" t="s">
        <v>281</v>
      </c>
      <c r="F38" s="29"/>
      <c r="I38" s="25"/>
    </row>
    <row r="39" spans="1:9" s="10" customFormat="1" x14ac:dyDescent="0.2">
      <c r="A39" s="46">
        <v>185</v>
      </c>
      <c r="B39" s="70" t="s">
        <v>133</v>
      </c>
      <c r="C39" s="13" t="s">
        <v>283</v>
      </c>
      <c r="D39" s="56">
        <v>0</v>
      </c>
      <c r="E39" s="21" t="s">
        <v>282</v>
      </c>
      <c r="F39" s="29"/>
      <c r="I39" s="25"/>
    </row>
    <row r="40" spans="1:9" s="23" customFormat="1" ht="30" x14ac:dyDescent="0.25">
      <c r="A40" s="47" t="s">
        <v>134</v>
      </c>
      <c r="B40" s="70" t="s">
        <v>135</v>
      </c>
      <c r="C40" s="13" t="s">
        <v>285</v>
      </c>
      <c r="D40" s="105">
        <f>+D26+D27-D31+D35-D36-D38-D39</f>
        <v>0</v>
      </c>
      <c r="E40" s="18" t="s">
        <v>284</v>
      </c>
      <c r="F40" s="29" t="s">
        <v>286</v>
      </c>
      <c r="I40" s="24"/>
    </row>
    <row r="41" spans="1:9" s="10" customFormat="1" ht="45" x14ac:dyDescent="0.2">
      <c r="A41" s="46">
        <v>188</v>
      </c>
      <c r="B41" s="70" t="s">
        <v>136</v>
      </c>
      <c r="C41" s="13" t="s">
        <v>137</v>
      </c>
      <c r="D41" s="54">
        <v>0</v>
      </c>
      <c r="E41" s="20" t="s">
        <v>287</v>
      </c>
      <c r="F41" s="29"/>
      <c r="I41" s="25"/>
    </row>
    <row r="42" spans="1:9" s="23" customFormat="1" ht="15.75" thickBot="1" x14ac:dyDescent="0.3">
      <c r="A42" s="48">
        <v>189</v>
      </c>
      <c r="B42" s="49" t="s">
        <v>138</v>
      </c>
      <c r="C42" s="50" t="s">
        <v>139</v>
      </c>
      <c r="D42" s="55">
        <v>12</v>
      </c>
      <c r="E42" s="51"/>
      <c r="F42" s="29"/>
      <c r="I42" s="24"/>
    </row>
    <row r="43" spans="1:9" s="10" customFormat="1" x14ac:dyDescent="0.25">
      <c r="A43"/>
      <c r="B43"/>
      <c r="C43"/>
      <c r="D43"/>
      <c r="E43"/>
      <c r="F43" s="29"/>
      <c r="I43" s="25"/>
    </row>
    <row r="44" spans="1:9" s="10" customFormat="1" x14ac:dyDescent="0.25">
      <c r="A44"/>
      <c r="B44"/>
      <c r="C44"/>
      <c r="D44"/>
      <c r="E44"/>
      <c r="F44" s="29"/>
      <c r="I44" s="25"/>
    </row>
    <row r="45" spans="1:9" s="10" customFormat="1" x14ac:dyDescent="0.25">
      <c r="A45"/>
      <c r="B45"/>
      <c r="C45"/>
      <c r="D45"/>
      <c r="E45"/>
      <c r="F45" s="29"/>
      <c r="I45" s="25"/>
    </row>
    <row r="46" spans="1:9" s="23" customFormat="1" x14ac:dyDescent="0.25">
      <c r="A46"/>
      <c r="B46"/>
      <c r="C46"/>
      <c r="D46"/>
      <c r="E46"/>
      <c r="F46" s="29"/>
      <c r="I46" s="24"/>
    </row>
    <row r="47" spans="1:9" s="23" customFormat="1" x14ac:dyDescent="0.25">
      <c r="A47"/>
      <c r="B47"/>
      <c r="C47"/>
      <c r="D47"/>
      <c r="E47"/>
      <c r="F47" s="29"/>
      <c r="I47" s="24"/>
    </row>
    <row r="48" spans="1:9" s="23" customFormat="1" x14ac:dyDescent="0.25">
      <c r="A48"/>
      <c r="B48"/>
      <c r="C48"/>
      <c r="D48"/>
      <c r="E48"/>
      <c r="F48" s="29"/>
      <c r="I48" s="24"/>
    </row>
    <row r="49" spans="1:9" s="23" customFormat="1" x14ac:dyDescent="0.25">
      <c r="A49"/>
      <c r="B49"/>
      <c r="C49"/>
      <c r="D49"/>
      <c r="E49"/>
      <c r="F49" s="29"/>
      <c r="I49" s="24"/>
    </row>
    <row r="50" spans="1:9" s="23" customFormat="1" x14ac:dyDescent="0.25">
      <c r="A50"/>
      <c r="B50"/>
      <c r="C50"/>
      <c r="D50"/>
      <c r="E50"/>
      <c r="F50" s="29"/>
      <c r="I50" s="24"/>
    </row>
    <row r="51" spans="1:9" s="10" customFormat="1" x14ac:dyDescent="0.25">
      <c r="A51"/>
      <c r="B51"/>
      <c r="C51"/>
      <c r="D51"/>
      <c r="E51"/>
      <c r="F51" s="29"/>
      <c r="I51" s="25"/>
    </row>
    <row r="52" spans="1:9" s="10" customFormat="1" x14ac:dyDescent="0.25">
      <c r="A52"/>
      <c r="B52"/>
      <c r="C52"/>
      <c r="D52"/>
      <c r="E52"/>
      <c r="F52" s="29"/>
      <c r="I52" s="25"/>
    </row>
    <row r="53" spans="1:9" s="10" customFormat="1" x14ac:dyDescent="0.25">
      <c r="A53"/>
      <c r="B53"/>
      <c r="C53"/>
      <c r="D53"/>
      <c r="E53"/>
      <c r="F53" s="29"/>
      <c r="I53" s="25"/>
    </row>
    <row r="54" spans="1:9" s="10" customFormat="1" x14ac:dyDescent="0.25">
      <c r="A54"/>
      <c r="B54"/>
      <c r="C54"/>
      <c r="D54"/>
      <c r="E54"/>
      <c r="F54" s="29"/>
      <c r="I54" s="25"/>
    </row>
    <row r="55" spans="1:9" s="23" customFormat="1" x14ac:dyDescent="0.25">
      <c r="A55"/>
      <c r="B55"/>
      <c r="C55"/>
      <c r="D55"/>
      <c r="E55"/>
      <c r="F55" s="29"/>
      <c r="I55" s="24"/>
    </row>
    <row r="56" spans="1:9" s="10" customFormat="1" x14ac:dyDescent="0.25">
      <c r="A56"/>
      <c r="B56"/>
      <c r="C56"/>
      <c r="D56"/>
      <c r="E56"/>
      <c r="F56" s="29"/>
      <c r="I56" s="25"/>
    </row>
    <row r="57" spans="1:9" s="10" customFormat="1" x14ac:dyDescent="0.25">
      <c r="A57"/>
      <c r="B57"/>
      <c r="C57"/>
      <c r="D57"/>
      <c r="E57"/>
      <c r="F57" s="29"/>
      <c r="I57" s="25"/>
    </row>
    <row r="58" spans="1:9" s="23" customFormat="1" x14ac:dyDescent="0.25">
      <c r="A58"/>
      <c r="B58"/>
      <c r="C58"/>
      <c r="D58"/>
      <c r="E58"/>
      <c r="F58" s="29"/>
      <c r="I58" s="24"/>
    </row>
    <row r="59" spans="1:9" s="10" customFormat="1" x14ac:dyDescent="0.25">
      <c r="A59"/>
      <c r="B59"/>
      <c r="C59"/>
      <c r="D59"/>
      <c r="E59"/>
      <c r="F59" s="29"/>
      <c r="I59" s="25"/>
    </row>
    <row r="60" spans="1:9" s="10" customFormat="1" x14ac:dyDescent="0.25">
      <c r="A60"/>
      <c r="B60"/>
      <c r="C60"/>
      <c r="D60"/>
      <c r="E60"/>
      <c r="F60" s="29"/>
      <c r="I60" s="25"/>
    </row>
    <row r="61" spans="1:9" s="23" customFormat="1" x14ac:dyDescent="0.25">
      <c r="A61"/>
      <c r="B61"/>
      <c r="C61"/>
      <c r="D61"/>
      <c r="E61"/>
      <c r="F61" s="29"/>
      <c r="I61" s="24"/>
    </row>
    <row r="62" spans="1:9" s="23" customFormat="1" x14ac:dyDescent="0.25">
      <c r="A62"/>
      <c r="B62"/>
      <c r="C62"/>
      <c r="D62"/>
      <c r="E62"/>
      <c r="F62" s="29"/>
      <c r="I62" s="24"/>
    </row>
    <row r="63" spans="1:9" s="23" customFormat="1" x14ac:dyDescent="0.25">
      <c r="A63"/>
      <c r="B63"/>
      <c r="C63"/>
      <c r="D63"/>
      <c r="E63"/>
      <c r="F63" s="29"/>
      <c r="I63" s="24"/>
    </row>
    <row r="64" spans="1:9" s="23" customFormat="1" x14ac:dyDescent="0.25">
      <c r="A64"/>
      <c r="B64"/>
      <c r="C64"/>
      <c r="D64"/>
      <c r="E64"/>
      <c r="F64" s="29"/>
      <c r="I64" s="24"/>
    </row>
    <row r="65" spans="1:9" s="10" customFormat="1" x14ac:dyDescent="0.25">
      <c r="A65"/>
      <c r="B65"/>
      <c r="C65"/>
      <c r="D65"/>
      <c r="E65"/>
      <c r="F65" s="29"/>
      <c r="I65" s="25"/>
    </row>
    <row r="66" spans="1:9" s="10" customFormat="1" x14ac:dyDescent="0.25">
      <c r="A66"/>
      <c r="B66"/>
      <c r="C66"/>
      <c r="D66"/>
      <c r="E66"/>
      <c r="F66" s="29"/>
      <c r="I66" s="25"/>
    </row>
    <row r="67" spans="1:9" s="10" customFormat="1" x14ac:dyDescent="0.25">
      <c r="A67"/>
      <c r="B67"/>
      <c r="C67"/>
      <c r="D67"/>
      <c r="E67"/>
      <c r="F67" s="29"/>
      <c r="I67" s="25"/>
    </row>
    <row r="68" spans="1:9" s="10" customFormat="1" x14ac:dyDescent="0.25">
      <c r="A68"/>
      <c r="B68"/>
      <c r="C68"/>
      <c r="D68"/>
      <c r="E68"/>
      <c r="F68" s="29"/>
      <c r="I68" s="25"/>
    </row>
    <row r="69" spans="1:9" s="23" customFormat="1" x14ac:dyDescent="0.25">
      <c r="A69"/>
      <c r="B69"/>
      <c r="C69"/>
      <c r="D69"/>
      <c r="E69"/>
      <c r="F69" s="29"/>
      <c r="I69" s="24"/>
    </row>
    <row r="70" spans="1:9" s="10" customFormat="1" x14ac:dyDescent="0.25">
      <c r="A70"/>
      <c r="B70"/>
      <c r="C70"/>
      <c r="D70"/>
      <c r="E70"/>
      <c r="F70" s="29"/>
      <c r="I70" s="25"/>
    </row>
    <row r="71" spans="1:9" s="10" customFormat="1" x14ac:dyDescent="0.25">
      <c r="A71"/>
      <c r="B71"/>
      <c r="C71"/>
      <c r="D71"/>
      <c r="E71"/>
      <c r="F71" s="29"/>
      <c r="I71" s="25"/>
    </row>
    <row r="72" spans="1:9" s="10" customFormat="1" x14ac:dyDescent="0.25">
      <c r="A72"/>
      <c r="B72"/>
      <c r="C72"/>
      <c r="D72"/>
      <c r="E72"/>
      <c r="F72" s="29"/>
      <c r="I72" s="25"/>
    </row>
    <row r="73" spans="1:9" s="23" customFormat="1" x14ac:dyDescent="0.25">
      <c r="A73"/>
      <c r="B73"/>
      <c r="C73"/>
      <c r="D73"/>
      <c r="E73"/>
      <c r="F73" s="29"/>
      <c r="I73" s="24"/>
    </row>
    <row r="74" spans="1:9" s="23" customFormat="1" x14ac:dyDescent="0.25">
      <c r="A74"/>
      <c r="B74"/>
      <c r="C74"/>
      <c r="D74"/>
      <c r="E74"/>
      <c r="F74" s="29"/>
      <c r="I74" s="24"/>
    </row>
    <row r="75" spans="1:9" s="23" customFormat="1" x14ac:dyDescent="0.25">
      <c r="A75"/>
      <c r="B75"/>
      <c r="C75"/>
      <c r="D75"/>
      <c r="E75"/>
      <c r="F75" s="29"/>
      <c r="I75" s="24"/>
    </row>
    <row r="76" spans="1:9" s="23" customFormat="1" x14ac:dyDescent="0.25">
      <c r="A76"/>
      <c r="B76"/>
      <c r="C76"/>
      <c r="D76"/>
      <c r="E76"/>
      <c r="F76" s="29"/>
      <c r="I76" s="24"/>
    </row>
    <row r="77" spans="1:9" s="23" customFormat="1" x14ac:dyDescent="0.25">
      <c r="A77"/>
      <c r="B77"/>
      <c r="C77"/>
      <c r="D77"/>
      <c r="E77"/>
      <c r="F77" s="29"/>
      <c r="I77" s="24"/>
    </row>
    <row r="78" spans="1:9" s="23" customFormat="1" x14ac:dyDescent="0.25">
      <c r="A78"/>
      <c r="B78"/>
      <c r="C78"/>
      <c r="D78"/>
      <c r="E78"/>
      <c r="F78" s="29"/>
      <c r="I78" s="24"/>
    </row>
    <row r="79" spans="1:9" s="23" customFormat="1" x14ac:dyDescent="0.25">
      <c r="A79"/>
      <c r="B79"/>
      <c r="C79"/>
      <c r="D79"/>
      <c r="E79"/>
      <c r="F79" s="29"/>
      <c r="I79" s="24"/>
    </row>
    <row r="80" spans="1:9" s="23" customFormat="1" x14ac:dyDescent="0.25">
      <c r="A80"/>
      <c r="B80"/>
      <c r="C80"/>
      <c r="D80"/>
      <c r="E80"/>
      <c r="F80" s="29"/>
      <c r="I80" s="24"/>
    </row>
    <row r="81" spans="1:9" s="23" customFormat="1" x14ac:dyDescent="0.25">
      <c r="A81"/>
      <c r="B81"/>
      <c r="C81"/>
      <c r="D81"/>
      <c r="E81"/>
      <c r="F81" s="29"/>
      <c r="I81" s="24"/>
    </row>
    <row r="82" spans="1:9" s="23" customFormat="1" x14ac:dyDescent="0.25">
      <c r="A82"/>
      <c r="B82"/>
      <c r="C82"/>
      <c r="D82"/>
      <c r="E82"/>
      <c r="F82" s="29" t="s">
        <v>148</v>
      </c>
      <c r="I82" s="24"/>
    </row>
    <row r="83" spans="1:9" s="23" customFormat="1" x14ac:dyDescent="0.25">
      <c r="A83"/>
      <c r="B83"/>
      <c r="C83"/>
      <c r="D83"/>
      <c r="E83"/>
      <c r="F83" s="29"/>
      <c r="I83" s="24"/>
    </row>
    <row r="84" spans="1:9" s="23" customFormat="1" x14ac:dyDescent="0.25">
      <c r="A84"/>
      <c r="B84"/>
      <c r="C84"/>
      <c r="D84"/>
      <c r="E84"/>
      <c r="F84" s="29"/>
      <c r="I84" s="24"/>
    </row>
    <row r="85" spans="1:9" s="23" customFormat="1" x14ac:dyDescent="0.25">
      <c r="A85"/>
      <c r="B85"/>
      <c r="C85"/>
      <c r="D85"/>
      <c r="E85"/>
      <c r="F85" s="28"/>
      <c r="I85" s="24"/>
    </row>
    <row r="86" spans="1:9" s="23" customFormat="1" x14ac:dyDescent="0.25">
      <c r="A86"/>
      <c r="B86"/>
      <c r="C86"/>
      <c r="D86"/>
      <c r="E86"/>
      <c r="F86" s="28"/>
      <c r="I86" s="24"/>
    </row>
  </sheetData>
  <sheetProtection algorithmName="SHA-512" hashValue="/mp1UPzM64aC606B3cF9XgXsZw8CBFUVz9rSB8SuFxRopXnMK5GzqqIw5EEgiFiKejA56xwFpycd25100Ph3Aw==" saltValue="crpV/7hRfC+rW+cGCl/xNw==" spinCount="100000" sheet="1" objects="1" scenarios="1"/>
  <protectedRanges>
    <protectedRange algorithmName="SHA-512" hashValue="OfzEDXHl8Mqme3hm8m415EOwjDT2TLW25XpG95UyU84M1Zsc4HUOs5VWp/r74XV6M8/1ZfFhM56MceDvORoPVQ==" saltValue="nwdM+CQmbO+1qM35Xr47eg==" spinCount="100000" sqref="D24:E35 D16:E20 D12:E12" name="Obseg1"/>
  </protectedRanges>
  <mergeCells count="11">
    <mergeCell ref="F3:F5"/>
    <mergeCell ref="D4:E4"/>
    <mergeCell ref="D5:E5"/>
    <mergeCell ref="C7:E7"/>
    <mergeCell ref="C8:E8"/>
    <mergeCell ref="A10:A11"/>
    <mergeCell ref="C10:C11"/>
    <mergeCell ref="D10:E10"/>
    <mergeCell ref="C1:E1"/>
    <mergeCell ref="D3:E3"/>
    <mergeCell ref="B10:B11"/>
  </mergeCells>
  <conditionalFormatting sqref="A12:B42 C12:E223 F87:G267">
    <cfRule type="expression" dxfId="2" priority="1" stopIfTrue="1">
      <formula>#REF!=1</formula>
    </cfRule>
  </conditionalFormatting>
  <conditionalFormatting sqref="D12:E42">
    <cfRule type="expression" dxfId="1" priority="17">
      <formula>#REF!=2</formula>
    </cfRule>
  </conditionalFormatting>
  <conditionalFormatting sqref="F87:G188">
    <cfRule type="expression" dxfId="0" priority="16">
      <formula>#REF!=2</formula>
    </cfRule>
  </conditionalFormatting>
  <pageMargins left="0.7" right="0.7" top="0.75" bottom="0.75" header="0.3" footer="0.3"/>
  <pageSetup paperSize="9" fitToHeight="0" orientation="portrait" r:id="rId1"/>
  <headerFooter>
    <oddHeader>&amp;L&amp;"Century Gothic,Regular"&amp;08&amp;K203864PUBLIC</oddHeader>
    <evenHeader>&amp;L&amp;"Century Gothic,Regular"&amp;08&amp;K203864PUBLIC</evenHeader>
    <firstHeader>&amp;L&amp;"Century Gothic,Regular"&amp;08&amp;K203864PUBLIC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F13DE0CFD3C04B816426EF54FD84F7" ma:contentTypeVersion="12" ma:contentTypeDescription="Create a new document." ma:contentTypeScope="" ma:versionID="cf780cd1d7015cfd10bbdb954ef01782">
  <xsd:schema xmlns:xsd="http://www.w3.org/2001/XMLSchema" xmlns:xs="http://www.w3.org/2001/XMLSchema" xmlns:p="http://schemas.microsoft.com/office/2006/metadata/properties" xmlns:ns2="52984689-b23b-4369-ad8a-7c74cda426c6" xmlns:ns3="2f7517ef-dace-4a17-8612-8b59e0ed83d1" targetNamespace="http://schemas.microsoft.com/office/2006/metadata/properties" ma:root="true" ma:fieldsID="65c6531d629f55e731a6e042f77afb56" ns2:_="" ns3:_="">
    <xsd:import namespace="52984689-b23b-4369-ad8a-7c74cda426c6"/>
    <xsd:import namespace="2f7517ef-dace-4a17-8612-8b59e0ed83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984689-b23b-4369-ad8a-7c74cda426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7517ef-dace-4a17-8612-8b59e0ed83d1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isl xmlns:xsd="http://www.w3.org/2001/XMLSchema" xmlns:xsi="http://www.w3.org/2001/XMLSchema-instance" xmlns="http://www.boldonjames.com/2008/01/sie/internal/label" sislVersion="0" policy="8c1fab91-6ff8-4cc4-9055-1d8eb838c0fb" origin="userSelected">
  <element uid="id_classification_nonbusiness" value=""/>
</sisl>
</file>

<file path=customXml/itemProps1.xml><?xml version="1.0" encoding="utf-8"?>
<ds:datastoreItem xmlns:ds="http://schemas.openxmlformats.org/officeDocument/2006/customXml" ds:itemID="{521738C1-E4DA-4E4B-8F30-88EC726011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2961415-B4A0-43B1-8849-C5067A8388D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1C0F9E2-A59D-4B65-B1F7-F7B241F019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984689-b23b-4369-ad8a-7c74cda426c6"/>
    <ds:schemaRef ds:uri="2f7517ef-dace-4a17-8612-8b59e0ed83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803BA35-D262-48D0-A124-BCDDE7F2098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2</vt:i4>
      </vt:variant>
    </vt:vector>
  </HeadingPairs>
  <TitlesOfParts>
    <vt:vector size="2" baseType="lpstr">
      <vt:lpstr>BS</vt:lpstr>
      <vt:lpstr>IPI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Žiga Borišek</dc:creator>
  <cp:keywords/>
  <dc:description/>
  <cp:lastModifiedBy>Hazabent Darija</cp:lastModifiedBy>
  <cp:revision/>
  <dcterms:created xsi:type="dcterms:W3CDTF">2021-05-06T11:37:22Z</dcterms:created>
  <dcterms:modified xsi:type="dcterms:W3CDTF">2026-05-25T16:23:34Z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0x010100CBF13DE0CFD3C04B816426EF54FD84F7</vt:lpwstr>
  </property>
  <property fmtid="{D5CDD505-2E9C-101B-9397-08002B2CF9AE}" pid="3" name="docIndexRef">
    <vt:lpwstr>4fa769a3-a59d-4af0-a332-704cef5e866f</vt:lpwstr>
  </property>
  <property fmtid="{D5CDD505-2E9C-101B-9397-08002B2CF9AE}" pid="4" name="bjSaver">
    <vt:lpwstr>j+w1stws7CyNqOTaE1POEwal2ix2mErp</vt:lpwstr>
  </property>
  <property fmtid="{D5CDD505-2E9C-101B-9397-08002B2CF9AE}" pid="5" name="bjDocumentLabelXML">
    <vt:lpwstr>&lt;?xml version="1.0" encoding="us-ascii"?&gt;&lt;sisl xmlns:xsd="http://www.w3.org/2001/XMLSchema" xmlns:xsi="http://www.w3.org/2001/XMLSchema-instance" sislVersion="0" policy="8c1fab91-6ff8-4cc4-9055-1d8eb838c0fb" origin="userSelected" xmlns="http://www.boldonj</vt:lpwstr>
  </property>
  <property fmtid="{D5CDD505-2E9C-101B-9397-08002B2CF9AE}" pid="6" name="bjDocumentLabelXML-0">
    <vt:lpwstr>ames.com/2008/01/sie/internal/label"&gt;&lt;element uid="id_classification_nonbusiness" value="" /&gt;&lt;/sisl&gt;</vt:lpwstr>
  </property>
  <property fmtid="{D5CDD505-2E9C-101B-9397-08002B2CF9AE}" pid="7" name="bjDocumentSecurityLabel">
    <vt:lpwstr>PUBLIC</vt:lpwstr>
  </property>
  <property fmtid="{D5CDD505-2E9C-101B-9397-08002B2CF9AE}" pid="8" name="bjClsUserRVM">
    <vt:lpwstr>[{"VisualMarkingType":1,"ShapeName":"","ApplyMarking":true}]</vt:lpwstr>
  </property>
  <property fmtid="{D5CDD505-2E9C-101B-9397-08002B2CF9AE}" pid="9" name="bjLeftHeaderLabel-first">
    <vt:lpwstr>&amp;"Century Gothic,Regular"&amp;08&amp;K203864PUBLIC</vt:lpwstr>
  </property>
  <property fmtid="{D5CDD505-2E9C-101B-9397-08002B2CF9AE}" pid="10" name="bjLeftHeaderLabel-even">
    <vt:lpwstr>&amp;"Century Gothic,Regular"&amp;08&amp;K203864PUBLIC</vt:lpwstr>
  </property>
  <property fmtid="{D5CDD505-2E9C-101B-9397-08002B2CF9AE}" pid="11" name="bjLeftHeaderLabel">
    <vt:lpwstr>&amp;"Century Gothic,Regular"&amp;08&amp;K203864PUBLIC</vt:lpwstr>
  </property>
</Properties>
</file>