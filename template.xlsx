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hrc.sharepoint.com/sites/projektews/Shared Documents/Dokumentiranje procesa/NAVODILA RISK/Navodila CBK/"/>
    </mc:Choice>
  </mc:AlternateContent>
  <xr:revisionPtr revIDLastSave="0" documentId="8_{D055B5B0-16EF-4E5E-B252-3C3B50FA3472}" xr6:coauthVersionLast="47" xr6:coauthVersionMax="47" xr10:uidLastSave="{00000000-0000-0000-0000-000000000000}"/>
  <bookViews>
    <workbookView xWindow="28740" yWindow="1980" windowWidth="22410" windowHeight="18375" firstSheet="1" activeTab="1" xr2:uid="{33941036-61AF-4EE7-B655-7D54D98423EA}"/>
  </bookViews>
  <sheets>
    <sheet name="BS" sheetId="1" r:id="rId1"/>
    <sheet name="IP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67" i="1"/>
  <c r="D82" i="2"/>
  <c r="D78" i="2"/>
  <c r="D73" i="2"/>
  <c r="D70" i="2" s="1"/>
  <c r="D67" i="2"/>
  <c r="D64" i="2"/>
  <c r="D59" i="2"/>
  <c r="D51" i="2"/>
  <c r="D47" i="2"/>
  <c r="D42" i="2"/>
  <c r="D37" i="2"/>
  <c r="D33" i="2"/>
  <c r="D20" i="2"/>
  <c r="D17" i="2"/>
  <c r="D13" i="2"/>
  <c r="D103" i="1"/>
  <c r="D99" i="1"/>
  <c r="D92" i="1"/>
  <c r="D88" i="1"/>
  <c r="D84" i="1"/>
  <c r="D72" i="1"/>
  <c r="D68" i="1"/>
  <c r="D56" i="1"/>
  <c r="D52" i="1"/>
  <c r="D51" i="1"/>
  <c r="D45" i="1"/>
  <c r="D38" i="1"/>
  <c r="D35" i="1"/>
  <c r="D30" i="1" s="1"/>
  <c r="D31" i="1"/>
  <c r="D21" i="1"/>
  <c r="D15" i="1"/>
  <c r="D14" i="1" s="1"/>
  <c r="D57" i="2" l="1"/>
  <c r="D12" i="2"/>
  <c r="D87" i="1"/>
  <c r="D30" i="2"/>
  <c r="D97" i="1"/>
  <c r="D66" i="1" s="1"/>
  <c r="D43" i="1"/>
  <c r="D13" i="1"/>
  <c r="D12" i="1" l="1"/>
</calcChain>
</file>

<file path=xl/sharedStrings.xml><?xml version="1.0" encoding="utf-8"?>
<sst xmlns="http://schemas.openxmlformats.org/spreadsheetml/2006/main" count="488" uniqueCount="471">
  <si>
    <t>Izpolni sive celice</t>
  </si>
  <si>
    <t>Naziv pravne osebe</t>
  </si>
  <si>
    <t>Matična št.</t>
  </si>
  <si>
    <t>Št. partnerja</t>
  </si>
  <si>
    <t>Tip bilance</t>
  </si>
  <si>
    <t>Obdobje bilance</t>
  </si>
  <si>
    <t>Tip subjekta</t>
  </si>
  <si>
    <t>Podatki iz bilance stanja</t>
  </si>
  <si>
    <t>v EUR</t>
  </si>
  <si>
    <t>Oznaka za AOP</t>
  </si>
  <si>
    <t>Oznaka GVAOP</t>
  </si>
  <si>
    <t>Postavka</t>
  </si>
  <si>
    <t>Znesek</t>
  </si>
  <si>
    <t>31.12.20XX</t>
  </si>
  <si>
    <t>001</t>
  </si>
  <si>
    <t>[001]</t>
  </si>
  <si>
    <t>SREDSTVA</t>
  </si>
  <si>
    <t>002</t>
  </si>
  <si>
    <t>[00101]</t>
  </si>
  <si>
    <t>A. DOLGOROČNA SREDSTVA</t>
  </si>
  <si>
    <t>003</t>
  </si>
  <si>
    <t>[0010101]</t>
  </si>
  <si>
    <t>I. Neopredmetena sredstva in dolgoročne aktivne časovne razmejitve</t>
  </si>
  <si>
    <t>004</t>
  </si>
  <si>
    <t>[001010102]</t>
  </si>
  <si>
    <t>1. Neopredmetena sredstva</t>
  </si>
  <si>
    <t>005</t>
  </si>
  <si>
    <t>[00101010202]</t>
  </si>
  <si>
    <t>a) Dolgoročne premoženjske pravice</t>
  </si>
  <si>
    <t>006</t>
  </si>
  <si>
    <t>[00101010203]</t>
  </si>
  <si>
    <t>b) Dobro ime</t>
  </si>
  <si>
    <t>007</t>
  </si>
  <si>
    <t>[00101010201]</t>
  </si>
  <si>
    <t>c) Dolgoročno odloženi stroški razvijanja</t>
  </si>
  <si>
    <t>008</t>
  </si>
  <si>
    <t>[00101010204]</t>
  </si>
  <si>
    <t>č) Druga neopredmetena sredstva</t>
  </si>
  <si>
    <t>009</t>
  </si>
  <si>
    <t>[001010101]</t>
  </si>
  <si>
    <t>2. Dolgoročne aktivne časovne razmejitve</t>
  </si>
  <si>
    <t>010</t>
  </si>
  <si>
    <t>[0010102]</t>
  </si>
  <si>
    <t>II. Opredmetena osnovna sredstva</t>
  </si>
  <si>
    <t>011</t>
  </si>
  <si>
    <t>[00101020101]</t>
  </si>
  <si>
    <t>1. Zemljišča</t>
  </si>
  <si>
    <t>012</t>
  </si>
  <si>
    <t>[00101020102]</t>
  </si>
  <si>
    <t>2. Zgradbe</t>
  </si>
  <si>
    <t>013</t>
  </si>
  <si>
    <t>[00101020201]</t>
  </si>
  <si>
    <t>3. Proizvajalne naprave in stroji</t>
  </si>
  <si>
    <t>014</t>
  </si>
  <si>
    <t>[00101020206]</t>
  </si>
  <si>
    <t>4. Druge naprave in oprema, drobni inventar in druga opredmetena osnovna sredstva</t>
  </si>
  <si>
    <t>015</t>
  </si>
  <si>
    <t>[00101020207]</t>
  </si>
  <si>
    <t>5. Biološka sredstva</t>
  </si>
  <si>
    <t>016</t>
  </si>
  <si>
    <t>[0010102020302]</t>
  </si>
  <si>
    <t>6. Opredmetena osnovna sredstva v gradnji in izdelavi</t>
  </si>
  <si>
    <t>017</t>
  </si>
  <si>
    <t>[0010102020301]</t>
  </si>
  <si>
    <t>7. Predujmi za pridobitev opredmetenih osnovnih sredstev</t>
  </si>
  <si>
    <t>018</t>
  </si>
  <si>
    <t>[0010104]</t>
  </si>
  <si>
    <t>III. Naložbene nepremičnine</t>
  </si>
  <si>
    <t>019</t>
  </si>
  <si>
    <t>[0010105]</t>
  </si>
  <si>
    <t>IV. Dolgoročne finančne naložbe</t>
  </si>
  <si>
    <t>020</t>
  </si>
  <si>
    <t>[001010501]</t>
  </si>
  <si>
    <t>1. Dolgoročne finančne naložbe, razen posojil</t>
  </si>
  <si>
    <t>021</t>
  </si>
  <si>
    <t>[00101050101]</t>
  </si>
  <si>
    <t>a) Delnice in deleži v družbah v skupini</t>
  </si>
  <si>
    <t>022</t>
  </si>
  <si>
    <t>[00101050102]</t>
  </si>
  <si>
    <t>b) Druge delnice in deleži</t>
  </si>
  <si>
    <t>023</t>
  </si>
  <si>
    <t>[00101050103]</t>
  </si>
  <si>
    <t>c) Druge dolgoročne finančne naložbe</t>
  </si>
  <si>
    <t>024</t>
  </si>
  <si>
    <t>[001010502]</t>
  </si>
  <si>
    <t>2. Dolgoročna posojila</t>
  </si>
  <si>
    <t>025</t>
  </si>
  <si>
    <t>[00101050201]</t>
  </si>
  <si>
    <t>a) Dolgoročna posojila družbam v skupini</t>
  </si>
  <si>
    <t>026</t>
  </si>
  <si>
    <t>[00101050202]</t>
  </si>
  <si>
    <t>b) Druga dolgoročna posojila</t>
  </si>
  <si>
    <t>027</t>
  </si>
  <si>
    <t>[001020201]</t>
  </si>
  <si>
    <t>V. Dolgoročne poslovne terjatve</t>
  </si>
  <si>
    <t>028</t>
  </si>
  <si>
    <t>[00102020102]</t>
  </si>
  <si>
    <t>1. Dolgoročne poslovne terjatve do družb v skupini</t>
  </si>
  <si>
    <t>029</t>
  </si>
  <si>
    <t>[00102020101]</t>
  </si>
  <si>
    <t>2. Dolgoročne poslovne terjatve do kupcev</t>
  </si>
  <si>
    <t>030</t>
  </si>
  <si>
    <t xml:space="preserve">[00102020104]    </t>
  </si>
  <si>
    <t>3. Dolgoročne poslovne terjatve do drugih</t>
  </si>
  <si>
    <t>031</t>
  </si>
  <si>
    <t>[0010106]</t>
  </si>
  <si>
    <t>VI. Odložene terjatve za davek</t>
  </si>
  <si>
    <t>032</t>
  </si>
  <si>
    <t>[00102]</t>
  </si>
  <si>
    <t>B. KRATKOROČNA SREDSTVA</t>
  </si>
  <si>
    <t>033</t>
  </si>
  <si>
    <t>[0010205]</t>
  </si>
  <si>
    <t>I. Sredstva (skupine za odtujitev) za prodajo</t>
  </si>
  <si>
    <t>034</t>
  </si>
  <si>
    <t>[0010201]</t>
  </si>
  <si>
    <t>II. Zaloge</t>
  </si>
  <si>
    <t>035</t>
  </si>
  <si>
    <t>[001020101]</t>
  </si>
  <si>
    <t>1. Material</t>
  </si>
  <si>
    <t>036</t>
  </si>
  <si>
    <t>[001020102]</t>
  </si>
  <si>
    <t>2. Nedokončana proizvodnja</t>
  </si>
  <si>
    <t>037</t>
  </si>
  <si>
    <t>[00102010301]</t>
  </si>
  <si>
    <t>3. Proizvodi</t>
  </si>
  <si>
    <t>038</t>
  </si>
  <si>
    <t>[00102010302]</t>
  </si>
  <si>
    <t>4. Trgovsko blago</t>
  </si>
  <si>
    <t>039</t>
  </si>
  <si>
    <t>[001020104]</t>
  </si>
  <si>
    <t>5. Predujmi za zaloge</t>
  </si>
  <si>
    <t>040</t>
  </si>
  <si>
    <t>[0010203]</t>
  </si>
  <si>
    <t>III. Kratkoročne finančne naložbe</t>
  </si>
  <si>
    <t>041</t>
  </si>
  <si>
    <t>[001020601]</t>
  </si>
  <si>
    <t>1. Kratkoročne finančne naložbe, razen posojil</t>
  </si>
  <si>
    <t>042</t>
  </si>
  <si>
    <t>[00102060101]</t>
  </si>
  <si>
    <t>043</t>
  </si>
  <si>
    <t>[00102060102]</t>
  </si>
  <si>
    <t>044</t>
  </si>
  <si>
    <t>[00102060103]</t>
  </si>
  <si>
    <t>c) Druge kratkoročne finančne naložbe</t>
  </si>
  <si>
    <t>045</t>
  </si>
  <si>
    <t>[001020602]</t>
  </si>
  <si>
    <t>2. Kratkoročna posojila</t>
  </si>
  <si>
    <t>046</t>
  </si>
  <si>
    <t>[00102060201]</t>
  </si>
  <si>
    <t>a) Kratkoročna posojila družbam v skupini</t>
  </si>
  <si>
    <t>047</t>
  </si>
  <si>
    <t>[00102060202]</t>
  </si>
  <si>
    <t>b) Druga kratkoročna posojila</t>
  </si>
  <si>
    <t>048</t>
  </si>
  <si>
    <t>[001020202]</t>
  </si>
  <si>
    <t>IV. Kratkoročne poslovne terjatve</t>
  </si>
  <si>
    <t>049</t>
  </si>
  <si>
    <t>[00102020202]</t>
  </si>
  <si>
    <t>1. Kratkoročne poslovne terjatve do družb v skupini</t>
  </si>
  <si>
    <t>050</t>
  </si>
  <si>
    <t>[00102020201]</t>
  </si>
  <si>
    <t>2. Kratkoročne poslovne terjatve do kupcev</t>
  </si>
  <si>
    <t>051</t>
  </si>
  <si>
    <t xml:space="preserve">[00102020204]    </t>
  </si>
  <si>
    <t>3. Kratkoročne poslovne terjatve do drugih</t>
  </si>
  <si>
    <t>052</t>
  </si>
  <si>
    <t>[0010204]</t>
  </si>
  <si>
    <t>V. Denarna sredstva</t>
  </si>
  <si>
    <t>053</t>
  </si>
  <si>
    <t>[00103]</t>
  </si>
  <si>
    <t>C. KRATKOROČNE AKTIVNE ČASOVNE RAZMEJITVE</t>
  </si>
  <si>
    <t>054</t>
  </si>
  <si>
    <t>[002]</t>
  </si>
  <si>
    <t>Zunajbilančna sredstva</t>
  </si>
  <si>
    <t>055</t>
  </si>
  <si>
    <t>[003]</t>
  </si>
  <si>
    <t>OBVEZNOSTI DO VIROV SREDSTEV</t>
  </si>
  <si>
    <t>056</t>
  </si>
  <si>
    <t>[00301]</t>
  </si>
  <si>
    <t>A. KAPITAL</t>
  </si>
  <si>
    <t>057</t>
  </si>
  <si>
    <t>[0030101]</t>
  </si>
  <si>
    <t>I. Vpoklicani kapital</t>
  </si>
  <si>
    <t>058</t>
  </si>
  <si>
    <t>[003010101]</t>
  </si>
  <si>
    <t>1. Osnovni kapital</t>
  </si>
  <si>
    <t>059</t>
  </si>
  <si>
    <t>[003010102]</t>
  </si>
  <si>
    <t>2. Nevpoklicani kapital (kot odbitna postavka)</t>
  </si>
  <si>
    <t>060</t>
  </si>
  <si>
    <t>[0030102]</t>
  </si>
  <si>
    <t>II. Kapitalske rezerve</t>
  </si>
  <si>
    <t>061</t>
  </si>
  <si>
    <t>[0030103]</t>
  </si>
  <si>
    <t>III. Rezerve iz dobička</t>
  </si>
  <si>
    <t>062</t>
  </si>
  <si>
    <t>[003010301]</t>
  </si>
  <si>
    <t>1. Zakonske rezerve</t>
  </si>
  <si>
    <t>063</t>
  </si>
  <si>
    <t>[003010302]</t>
  </si>
  <si>
    <t>2. Rezerve za lastne delnice in lastne poslovne deleže</t>
  </si>
  <si>
    <t>064</t>
  </si>
  <si>
    <t>[003010305]</t>
  </si>
  <si>
    <t>3. Lastne delnice in lastni poslovni deleži (kot odbitna postavka)</t>
  </si>
  <si>
    <t>065</t>
  </si>
  <si>
    <t>[003010303]</t>
  </si>
  <si>
    <t>4. Statutarne rezerve</t>
  </si>
  <si>
    <t>066</t>
  </si>
  <si>
    <t>[003010304]</t>
  </si>
  <si>
    <t>5. Druge rezerve iz dobička</t>
  </si>
  <si>
    <t>067</t>
  </si>
  <si>
    <t>[0030106]</t>
  </si>
  <si>
    <t>IV. Revalorizacijske rezerve</t>
  </si>
  <si>
    <t>[351]</t>
  </si>
  <si>
    <t>V. Rezerve, nastale zaradi vrednotenja po pošteni vrednosti</t>
  </si>
  <si>
    <t>068</t>
  </si>
  <si>
    <t>[003010401]</t>
  </si>
  <si>
    <t>VI. Preneseni čisti dobiček</t>
  </si>
  <si>
    <t>069</t>
  </si>
  <si>
    <t>[003010402]</t>
  </si>
  <si>
    <t>VII. Prenesena čista izguba</t>
  </si>
  <si>
    <t>070</t>
  </si>
  <si>
    <t>[003010501]</t>
  </si>
  <si>
    <t>VIII. Čisti dobiček poslovnega leta</t>
  </si>
  <si>
    <t>071</t>
  </si>
  <si>
    <t>[003010502]</t>
  </si>
  <si>
    <t>IX. Čista izguba poslovnega leta</t>
  </si>
  <si>
    <t>072</t>
  </si>
  <si>
    <t>[00302]</t>
  </si>
  <si>
    <t>B. REZERVACIJE IN DOLGOROČNE PASIVNE ČASOVNE RAZMEJITVE</t>
  </si>
  <si>
    <t>073</t>
  </si>
  <si>
    <t>[0030204]</t>
  </si>
  <si>
    <t>1. Rezervacije</t>
  </si>
  <si>
    <t>074</t>
  </si>
  <si>
    <t>[0030205]</t>
  </si>
  <si>
    <t>2. Dolgoročne pasivne časovne razmejitve</t>
  </si>
  <si>
    <t>075</t>
  </si>
  <si>
    <t>[0030303]</t>
  </si>
  <si>
    <t>C. DOLGOROČNE OBVEZNOSTI</t>
  </si>
  <si>
    <t>076</t>
  </si>
  <si>
    <t>[003030301]</t>
  </si>
  <si>
    <t>I. Dolgoročne finančne obveznosti</t>
  </si>
  <si>
    <t>077</t>
  </si>
  <si>
    <t>[00303030101]</t>
  </si>
  <si>
    <t>1. Dolgoročne finančne obveznosti do družb v skupini</t>
  </si>
  <si>
    <t>078</t>
  </si>
  <si>
    <t>[003030102]</t>
  </si>
  <si>
    <t>2. Dolgoročne finančne obveznosti do bank</t>
  </si>
  <si>
    <t>079</t>
  </si>
  <si>
    <t>[00303030102]</t>
  </si>
  <si>
    <t>3. Druge dolgoročne finančne obveznosti</t>
  </si>
  <si>
    <t>080</t>
  </si>
  <si>
    <t>[003030302]</t>
  </si>
  <si>
    <t>II. Dolgoročne poslovne obveznosti</t>
  </si>
  <si>
    <t>081</t>
  </si>
  <si>
    <t>[00303030201]</t>
  </si>
  <si>
    <t>1. Dolgoročne poslovne obveznosti do družb v skupini</t>
  </si>
  <si>
    <t>082</t>
  </si>
  <si>
    <t>[00303030202]</t>
  </si>
  <si>
    <t>2. Dolgoročne poslovne obveznosti do dobaviteljev</t>
  </si>
  <si>
    <t>083</t>
  </si>
  <si>
    <t>[00303030203]</t>
  </si>
  <si>
    <t>3. Druge dolgoročne poslovne obveznosti</t>
  </si>
  <si>
    <t>084</t>
  </si>
  <si>
    <t>[0030304]</t>
  </si>
  <si>
    <t>III. Odložene obveznosti za davek</t>
  </si>
  <si>
    <t>085</t>
  </si>
  <si>
    <t>[0030305]</t>
  </si>
  <si>
    <t>Č. KRATKOROČNE OBVEZNOSTI</t>
  </si>
  <si>
    <t>086</t>
  </si>
  <si>
    <t>[0030306]</t>
  </si>
  <si>
    <t>I. Obveznosti, vključene v skupine za odtujitev</t>
  </si>
  <si>
    <t>087</t>
  </si>
  <si>
    <t>[003030501]</t>
  </si>
  <si>
    <t>II. Kratkoročne finančne obveznosti</t>
  </si>
  <si>
    <t>088</t>
  </si>
  <si>
    <t>[00303050101]</t>
  </si>
  <si>
    <t>1. Kratkoročne finančne obveznosti do družb v skupini</t>
  </si>
  <si>
    <t>089</t>
  </si>
  <si>
    <t>[003030202]</t>
  </si>
  <si>
    <t>2. Kratkoročne finančne obveznosti do bank</t>
  </si>
  <si>
    <t>090</t>
  </si>
  <si>
    <t>[00303050102]</t>
  </si>
  <si>
    <t>3. Druge kratkoročne finančne obveznosti</t>
  </si>
  <si>
    <t>091</t>
  </si>
  <si>
    <t>[003030502]</t>
  </si>
  <si>
    <t>III. Kratkoročne poslovne obveznosti</t>
  </si>
  <si>
    <t>092</t>
  </si>
  <si>
    <t>[00303050201]</t>
  </si>
  <si>
    <t>1. Kratkoročne poslovne obveznosti do družb v skupini</t>
  </si>
  <si>
    <t>093</t>
  </si>
  <si>
    <t>[00303050202]</t>
  </si>
  <si>
    <t>2. Kratkoročne poslovne obveznosti do dobaviteljev</t>
  </si>
  <si>
    <t>094</t>
  </si>
  <si>
    <t>[00303050203]</t>
  </si>
  <si>
    <t>3. Druge kratkoročne poslovne obveznosti</t>
  </si>
  <si>
    <t>095</t>
  </si>
  <si>
    <t>[00304]</t>
  </si>
  <si>
    <t>D. KRATKOROČNE PASIVNE ČASOVNE RAZMEJITVE</t>
  </si>
  <si>
    <t>096</t>
  </si>
  <si>
    <t>[004]</t>
  </si>
  <si>
    <t>Zunajbilančne obveznosti</t>
  </si>
  <si>
    <t>Podatki iz izkaza poslovnega izida</t>
  </si>
  <si>
    <t>01.01.202X - 31.12.202X</t>
  </si>
  <si>
    <t>O+D53+A10:E88+A1+A10:E46</t>
  </si>
  <si>
    <t>31.12.202X</t>
  </si>
  <si>
    <t>[050]</t>
  </si>
  <si>
    <t>A. ČISTI PRIHODKI OD PRODAJE</t>
  </si>
  <si>
    <t>[05007]</t>
  </si>
  <si>
    <t>I. Čisti prihodki od prodaje na domačem trgu</t>
  </si>
  <si>
    <t>[0500101]</t>
  </si>
  <si>
    <t>1. Čisti prihodki od prodaje proizvodov in storitev razen najemnin</t>
  </si>
  <si>
    <t>[0500102]</t>
  </si>
  <si>
    <t>2. Čisti prihodki od najemnin</t>
  </si>
  <si>
    <t>[05002]</t>
  </si>
  <si>
    <t>3. Čisti prihodki od prodaje blaga in materiala</t>
  </si>
  <si>
    <t>[05005]</t>
  </si>
  <si>
    <t>II. Čisti prihodki od prodaje na trgu EU</t>
  </si>
  <si>
    <t>[0500501]</t>
  </si>
  <si>
    <t>1. Čisti prihodki od prodaje proizvodov in storitev</t>
  </si>
  <si>
    <t>[0500502]</t>
  </si>
  <si>
    <t>2. Čisti prihodki od prodaje blaga in materiala</t>
  </si>
  <si>
    <t>[05006]</t>
  </si>
  <si>
    <t>III. Čisti prihodki od prodaje na trgu izven EU</t>
  </si>
  <si>
    <t>[0500601]</t>
  </si>
  <si>
    <t>[0500602]</t>
  </si>
  <si>
    <t>/</t>
  </si>
  <si>
    <t>[051]</t>
  </si>
  <si>
    <t>Sprememba vrednosti zalog proizvodov in nedokončane proizvodnje</t>
  </si>
  <si>
    <t>[05101]</t>
  </si>
  <si>
    <t>B. POVEČANJE VREDNOSTI ZALOG PROIZVODOV IN NEDOKONČANE PROIZVODNJE</t>
  </si>
  <si>
    <t>[05102]</t>
  </si>
  <si>
    <t>C. ZMANJŠANJE VREDNOSTI ZALOG PROIZVODOV IN NEDOKONČANE PROIZVODNJE</t>
  </si>
  <si>
    <t>[052]</t>
  </si>
  <si>
    <t>Č. USREDSTVENI LASTNI PROIZVODI IN LASTNE STORITVE</t>
  </si>
  <si>
    <t>[05301]</t>
  </si>
  <si>
    <t>D. SUBVENCIJE, DOTACIJE, REGRESI, KOMPENZACIJE IN DRUGI PRIHODKI, KI SO POVEZANI S POSLOVNIMI UČINKI</t>
  </si>
  <si>
    <t>[05302]</t>
  </si>
  <si>
    <t>E. DRUGI POSLOVNI PRIHODKI</t>
  </si>
  <si>
    <t>[054]</t>
  </si>
  <si>
    <t>F. KOSMATI DONOS OD POSLOVANJA</t>
  </si>
  <si>
    <t>[060]</t>
  </si>
  <si>
    <t>G. POSLOVNI ODHODKI</t>
  </si>
  <si>
    <t>[055]</t>
  </si>
  <si>
    <t>I. Stroški blaga, materiala in storitev</t>
  </si>
  <si>
    <t>[0550101]</t>
  </si>
  <si>
    <t>1. Nabavna vrednost prodanega blaga in materiala</t>
  </si>
  <si>
    <t>[0550102]</t>
  </si>
  <si>
    <t>2. Stroški porabljenega materiala</t>
  </si>
  <si>
    <t>[055010201]</t>
  </si>
  <si>
    <t>a) stroški materiala</t>
  </si>
  <si>
    <t>[055020202]</t>
  </si>
  <si>
    <t>b) stroški energije</t>
  </si>
  <si>
    <t>[055020203]</t>
  </si>
  <si>
    <t>c) drugi stroški materiala</t>
  </si>
  <si>
    <t>[05503]</t>
  </si>
  <si>
    <t>3. Stroški storitev</t>
  </si>
  <si>
    <t>[0550301]</t>
  </si>
  <si>
    <t>a) transportne storitve</t>
  </si>
  <si>
    <t>[0550302]</t>
  </si>
  <si>
    <t>b) najemnine</t>
  </si>
  <si>
    <t>[0550303]</t>
  </si>
  <si>
    <t>c) povračila stroškov zaposlenim v zvezi z delom</t>
  </si>
  <si>
    <t>[0550304]</t>
  </si>
  <si>
    <t>č) drugi stroški storitev</t>
  </si>
  <si>
    <t>[056]</t>
  </si>
  <si>
    <t>II. Stroški dela</t>
  </si>
  <si>
    <t>[05601]</t>
  </si>
  <si>
    <t>1. Stroški plač</t>
  </si>
  <si>
    <t>[0560201]</t>
  </si>
  <si>
    <t>2. Stroški pokojninskih zavarovanj</t>
  </si>
  <si>
    <t>[05602]</t>
  </si>
  <si>
    <t>3. Stroški drugih socialnih zavarovanj</t>
  </si>
  <si>
    <t>[05603]</t>
  </si>
  <si>
    <t>4. Drugi stroški dela</t>
  </si>
  <si>
    <t>[057]</t>
  </si>
  <si>
    <t>III. Odpisi vrednosti</t>
  </si>
  <si>
    <t>[0570101]</t>
  </si>
  <si>
    <t>1. Amortizacija</t>
  </si>
  <si>
    <t>[0570102]</t>
  </si>
  <si>
    <t>2. Prevrednotovalni poslovni odhodki pri neopredmetenih sredstvih in opredmetenih osnovnih sredstvih</t>
  </si>
  <si>
    <t>[05702]</t>
  </si>
  <si>
    <t>3. Prevrednotovalni poslovni odhodki pri obratnih sredstvih</t>
  </si>
  <si>
    <t>[058]</t>
  </si>
  <si>
    <t>IV. Drugi poslovni odhodki</t>
  </si>
  <si>
    <t>[05803]</t>
  </si>
  <si>
    <t>[05804]</t>
  </si>
  <si>
    <t>2. Drugi stroški</t>
  </si>
  <si>
    <t>[061]</t>
  </si>
  <si>
    <t>Poslovni izid iz poslovanja</t>
  </si>
  <si>
    <t>[06101]</t>
  </si>
  <si>
    <t>H. DOBIČEK IZ POSLOVANJA</t>
  </si>
  <si>
    <t>[06102]</t>
  </si>
  <si>
    <t>I. IZGUBA IZ POSLOVANJA</t>
  </si>
  <si>
    <t>[062]</t>
  </si>
  <si>
    <t>J. FINANČNI PRIHODKI</t>
  </si>
  <si>
    <t>[ne obstaja]</t>
  </si>
  <si>
    <t>Finančni prihodki od obresti (upoštevano že v II. in III.)</t>
  </si>
  <si>
    <t>[06201]</t>
  </si>
  <si>
    <t>I. Finančni prihodki iz deležev</t>
  </si>
  <si>
    <t>[0620101]</t>
  </si>
  <si>
    <t>1. Finančni prihodki iz deležev v družbah v skupini</t>
  </si>
  <si>
    <t>[0620102]</t>
  </si>
  <si>
    <t>2. Finančni prihodki iz deležev v pridruženih družbah</t>
  </si>
  <si>
    <t>[0620104]</t>
  </si>
  <si>
    <t>3. Finančni prihodki iz deležev v drugih družbah</t>
  </si>
  <si>
    <t>[0620105]</t>
  </si>
  <si>
    <t>4. Finančni prihodki iz drugih naložb</t>
  </si>
  <si>
    <t>[0620203]</t>
  </si>
  <si>
    <t>II. Finančni prihodki iz danih posojil</t>
  </si>
  <si>
    <t>[062020301]</t>
  </si>
  <si>
    <t>1. Finančni prihodki iz posojil, danih družbam v skupini</t>
  </si>
  <si>
    <t>[062020302]</t>
  </si>
  <si>
    <t>2. Finančni prihodki iz posojil, danih drugim</t>
  </si>
  <si>
    <t>[0620204]</t>
  </si>
  <si>
    <t>III. Finančni prihodki iz poslovnih terjatev</t>
  </si>
  <si>
    <t>[062020401]</t>
  </si>
  <si>
    <t>1. Finančni prihodki iz poslovnih terjatev do družb v skupini</t>
  </si>
  <si>
    <t>[062020402]</t>
  </si>
  <si>
    <t>2. Finančni prihodki iz poslovnih terjatev do drugih</t>
  </si>
  <si>
    <t>[064]</t>
  </si>
  <si>
    <t>K. FINANČNI ODHODKI</t>
  </si>
  <si>
    <t>Finančni odhodki za obresti (upoštevano že v II. in III.)</t>
  </si>
  <si>
    <t>[06401]</t>
  </si>
  <si>
    <t>I. Finančni odhodki iz oslabitve in odpisov finančnih naložb</t>
  </si>
  <si>
    <t>[06404]</t>
  </si>
  <si>
    <t>II. Finančni odhodki iz finančnih obveznosti</t>
  </si>
  <si>
    <t>[0640401]</t>
  </si>
  <si>
    <t>1. Finančni odhodki iz posojil, prejetih od družb v skupini</t>
  </si>
  <si>
    <t>[0640402]</t>
  </si>
  <si>
    <t>2. Finančni odhodki iz posojil, prejetih od bank</t>
  </si>
  <si>
    <t>[0640403]</t>
  </si>
  <si>
    <t>3. Finančni odhodki iz izdanih obveznic</t>
  </si>
  <si>
    <t>[0640404]</t>
  </si>
  <si>
    <t>4. Finančni odhodki iz drugih finančnih obveznosti</t>
  </si>
  <si>
    <t>[06405]</t>
  </si>
  <si>
    <t>III. Finančni odhodki iz poslovnih obveznosti</t>
  </si>
  <si>
    <t>[0640501]</t>
  </si>
  <si>
    <t>1. Finančni odhodki iz poslovnih obveznosti do družb v skupini</t>
  </si>
  <si>
    <t>[0640502]</t>
  </si>
  <si>
    <t>2. Finančni odhodki iz obveznosti do dobaviteljev in meničnih obveznosti</t>
  </si>
  <si>
    <t>[0640503]</t>
  </si>
  <si>
    <t>3. Finančni odhodki iz drugih poslovnih obveznosti</t>
  </si>
  <si>
    <t>[068]</t>
  </si>
  <si>
    <t>L. DRUGI PRIHODKI</t>
  </si>
  <si>
    <t>[06801]</t>
  </si>
  <si>
    <t>I. Subvencije, dotacije in podobni prihodki, ki niso povezani s poslovnimi učinki</t>
  </si>
  <si>
    <t>[06802]</t>
  </si>
  <si>
    <t>II. Ostali prihodki</t>
  </si>
  <si>
    <t>[069]</t>
  </si>
  <si>
    <t>M. DRUGI ODHODKI</t>
  </si>
  <si>
    <t>[071]</t>
  </si>
  <si>
    <t>Celotni poslovni izid</t>
  </si>
  <si>
    <t>[07101]</t>
  </si>
  <si>
    <t>N. CELOTNI DOBIČEK</t>
  </si>
  <si>
    <t>[07102]</t>
  </si>
  <si>
    <t>O. CELOTNA IZGUBA</t>
  </si>
  <si>
    <t>[073]</t>
  </si>
  <si>
    <t>P. DAVEK IZ DOBIČKA</t>
  </si>
  <si>
    <t>[07301]</t>
  </si>
  <si>
    <t>R. ODLOŽENI DAVKI</t>
  </si>
  <si>
    <t>[075]</t>
  </si>
  <si>
    <t>ČISTI DOBIČEK / (IZGUBA) OBRAČUNSKEGA OBDOBJA (S. ali Š)</t>
  </si>
  <si>
    <t>[07501]</t>
  </si>
  <si>
    <t>S. ČISTI DOBIČEK OBRAČUNSKEGA OBDOBJA</t>
  </si>
  <si>
    <t>[07502]</t>
  </si>
  <si>
    <t>Š. ČISTA IZGUBA OBRAČUNSKEGA OBDOBJA</t>
  </si>
  <si>
    <t>[090]</t>
  </si>
  <si>
    <t>*POVPREČNO ŠTEVILO ZAPOSLENIH NA PODLAGI DELOVNIH UR V OBRAČUNSKEM OBDOBJU (na dve decimalki)</t>
  </si>
  <si>
    <t>[091]</t>
  </si>
  <si>
    <t>ŠTEVILO MESECEV POSLOVANJA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</si>
</sst>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0.00"/>
  </numFmts>
  <fonts count="2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 CE"/>
      <family val="2"/>
      <charset val="238"/>
    </font>
    <font>
      <sz val="9"/>
      <name val="Arial CE"/>
      <family val="2"/>
      <charset val="238"/>
    </font>
    <font>
      <b/>
      <sz val="18"/>
      <name val="Arial CE"/>
      <charset val="238"/>
    </font>
    <font>
      <sz val="14"/>
      <name val="Arial CE"/>
      <family val="2"/>
      <charset val="238"/>
    </font>
    <font>
      <b/>
      <sz val="10"/>
      <name val="Arial CE"/>
      <family val="2"/>
      <charset val="238"/>
    </font>
    <font>
      <i/>
      <sz val="11"/>
      <color rgb="FFFF0000"/>
      <name val="Arial"/>
      <family val="2"/>
      <charset val="238"/>
    </font>
    <font>
      <sz val="11"/>
      <color theme="1"/>
      <name val="Arial"/>
      <family val="2"/>
      <charset val="238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theme="1"/>
      <name val="Arial"/>
      <family val="2"/>
      <charset val="238"/>
    </font>
    <font>
      <i/>
      <sz val="1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sz val="9"/>
      <name val="Arial CE"/>
      <charset val="238"/>
    </font>
    <font>
      <sz val="9"/>
      <name val="Arial"/>
      <family val="2"/>
      <charset val="238"/>
    </font>
    <font>
      <b/>
      <sz val="11"/>
      <color rgb="FFFF0000"/>
      <name val="Arial"/>
      <family val="2"/>
      <charset val="238"/>
    </font>
    <font>
      <i/>
      <sz val="9"/>
      <color rgb="FFFF0000"/>
      <name val="Arial"/>
      <family val="2"/>
      <charset val="238"/>
    </font>
    <font>
      <sz val="14"/>
      <color rgb="FFFF0000"/>
      <name val="Arial CE"/>
      <family val="2"/>
      <charset val="238"/>
    </font>
    <font>
      <b/>
      <sz val="9"/>
      <name val="Arial CE"/>
      <charset val="238"/>
    </font>
    <font>
      <i/>
      <sz val="8"/>
      <color rgb="FFFF0000"/>
      <name val="Calibri"/>
      <family val="2"/>
      <charset val="238"/>
      <scheme val="minor"/>
    </font>
    <font>
      <i/>
      <sz val="8"/>
      <color rgb="FFFF0000"/>
      <name val="Arial"/>
      <family val="2"/>
      <charset val="238"/>
    </font>
    <font>
      <b/>
      <sz val="11"/>
      <color indexed="8"/>
      <name val="arial"/>
      <family val="2"/>
      <charset val="238"/>
    </font>
    <font>
      <sz val="11"/>
      <color indexed="8"/>
      <name val="Arial"/>
      <family val="2"/>
      <charset val="238"/>
    </font>
    <font>
      <b/>
      <sz val="10"/>
      <color rgb="FF555555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3" fillId="0" borderId="0" xfId="1" applyFont="1"/>
    <xf numFmtId="0" fontId="4" fillId="0" borderId="0" xfId="1" applyFont="1"/>
    <xf numFmtId="4" fontId="0" fillId="0" borderId="0" xfId="0" applyNumberFormat="1"/>
    <xf numFmtId="4" fontId="1" fillId="0" borderId="0" xfId="0" applyNumberFormat="1" applyFont="1"/>
    <xf numFmtId="0" fontId="1" fillId="0" borderId="0" xfId="0" applyFont="1"/>
    <xf numFmtId="0" fontId="5" fillId="0" borderId="0" xfId="1" applyFont="1" applyAlignment="1">
      <alignment wrapText="1"/>
    </xf>
    <xf numFmtId="0" fontId="6" fillId="0" borderId="0" xfId="1" applyFont="1"/>
    <xf numFmtId="0" fontId="7" fillId="0" borderId="0" xfId="1" applyFont="1"/>
    <xf numFmtId="0" fontId="7" fillId="0" borderId="0" xfId="1" applyFont="1" applyAlignment="1">
      <alignment horizontal="left" indent="1"/>
    </xf>
    <xf numFmtId="0" fontId="1" fillId="0" borderId="0" xfId="0" applyFont="1" applyAlignment="1">
      <alignment horizontal="left" indent="1"/>
    </xf>
    <xf numFmtId="4" fontId="1" fillId="0" borderId="0" xfId="0" applyNumberFormat="1" applyFont="1" applyAlignment="1">
      <alignment horizontal="left" indent="1"/>
    </xf>
    <xf numFmtId="0" fontId="8" fillId="0" borderId="0" xfId="0" applyFont="1"/>
    <xf numFmtId="0" fontId="9" fillId="0" borderId="0" xfId="0" applyFont="1"/>
    <xf numFmtId="0" fontId="10" fillId="0" borderId="0" xfId="1" applyFont="1"/>
    <xf numFmtId="0" fontId="11" fillId="0" borderId="0" xfId="1" applyFont="1" applyAlignment="1">
      <alignment horizontal="right"/>
    </xf>
    <xf numFmtId="0" fontId="11" fillId="0" borderId="2" xfId="1" applyFont="1" applyBorder="1" applyAlignment="1">
      <alignment vertical="top" wrapText="1"/>
    </xf>
    <xf numFmtId="3" fontId="11" fillId="0" borderId="2" xfId="1" applyNumberFormat="1" applyFont="1" applyBorder="1" applyAlignment="1">
      <alignment horizontal="right" vertical="top"/>
    </xf>
    <xf numFmtId="0" fontId="11" fillId="0" borderId="2" xfId="1" applyFont="1" applyBorder="1" applyAlignment="1">
      <alignment horizontal="left" vertical="top" wrapText="1" indent="1"/>
    </xf>
    <xf numFmtId="0" fontId="11" fillId="0" borderId="2" xfId="1" applyFont="1" applyBorder="1" applyAlignment="1">
      <alignment horizontal="left" vertical="top" wrapText="1" indent="2"/>
    </xf>
    <xf numFmtId="0" fontId="10" fillId="0" borderId="2" xfId="1" applyFont="1" applyBorder="1" applyAlignment="1">
      <alignment horizontal="left" vertical="top" wrapText="1" indent="3"/>
    </xf>
    <xf numFmtId="3" fontId="10" fillId="0" borderId="2" xfId="1" applyNumberFormat="1" applyFont="1" applyBorder="1" applyAlignment="1">
      <alignment horizontal="right" vertical="top"/>
    </xf>
    <xf numFmtId="0" fontId="10" fillId="0" borderId="2" xfId="1" applyFont="1" applyBorder="1" applyAlignment="1">
      <alignment horizontal="left" vertical="top" wrapText="1" indent="4"/>
    </xf>
    <xf numFmtId="3" fontId="10" fillId="2" borderId="2" xfId="1" applyNumberFormat="1" applyFont="1" applyFill="1" applyBorder="1" applyAlignment="1">
      <alignment horizontal="right" vertical="top"/>
    </xf>
    <xf numFmtId="3" fontId="11" fillId="2" borderId="2" xfId="1" applyNumberFormat="1" applyFont="1" applyFill="1" applyBorder="1" applyAlignment="1">
      <alignment horizontal="right" vertical="top"/>
    </xf>
    <xf numFmtId="3" fontId="11" fillId="0" borderId="1" xfId="1" applyNumberFormat="1" applyFont="1" applyBorder="1" applyAlignment="1">
      <alignment horizontal="right" vertical="top"/>
    </xf>
    <xf numFmtId="3" fontId="11" fillId="0" borderId="7" xfId="1" applyNumberFormat="1" applyFont="1" applyBorder="1" applyAlignment="1">
      <alignment horizontal="right" vertical="top"/>
    </xf>
    <xf numFmtId="0" fontId="10" fillId="0" borderId="2" xfId="1" applyFont="1" applyBorder="1" applyAlignment="1">
      <alignment horizontal="left" vertical="top" wrapText="1" indent="2"/>
    </xf>
    <xf numFmtId="3" fontId="10" fillId="2" borderId="1" xfId="1" applyNumberFormat="1" applyFont="1" applyFill="1" applyBorder="1" applyAlignment="1">
      <alignment horizontal="right" vertical="top"/>
    </xf>
    <xf numFmtId="3" fontId="10" fillId="2" borderId="7" xfId="1" applyNumberFormat="1" applyFont="1" applyFill="1" applyBorder="1" applyAlignment="1">
      <alignment horizontal="right" vertical="top"/>
    </xf>
    <xf numFmtId="3" fontId="11" fillId="2" borderId="1" xfId="1" applyNumberFormat="1" applyFont="1" applyFill="1" applyBorder="1" applyAlignment="1">
      <alignment horizontal="right" vertical="top"/>
    </xf>
    <xf numFmtId="3" fontId="11" fillId="2" borderId="7" xfId="1" applyNumberFormat="1" applyFont="1" applyFill="1" applyBorder="1" applyAlignment="1">
      <alignment horizontal="right" vertical="top"/>
    </xf>
    <xf numFmtId="3" fontId="10" fillId="0" borderId="1" xfId="1" applyNumberFormat="1" applyFont="1" applyBorder="1" applyAlignment="1">
      <alignment horizontal="right" vertical="top"/>
    </xf>
    <xf numFmtId="3" fontId="10" fillId="0" borderId="7" xfId="1" applyNumberFormat="1" applyFont="1" applyBorder="1" applyAlignment="1">
      <alignment horizontal="right" vertical="top"/>
    </xf>
    <xf numFmtId="0" fontId="13" fillId="0" borderId="2" xfId="1" applyFont="1" applyBorder="1" applyAlignment="1">
      <alignment vertical="top" wrapText="1"/>
    </xf>
    <xf numFmtId="0" fontId="12" fillId="0" borderId="0" xfId="0" applyFont="1"/>
    <xf numFmtId="4" fontId="12" fillId="0" borderId="0" xfId="0" applyNumberFormat="1" applyFont="1"/>
    <xf numFmtId="4" fontId="9" fillId="0" borderId="0" xfId="0" applyNumberFormat="1" applyFont="1"/>
    <xf numFmtId="0" fontId="14" fillId="0" borderId="0" xfId="0" applyFont="1"/>
    <xf numFmtId="0" fontId="15" fillId="0" borderId="0" xfId="1" applyFont="1" applyAlignment="1">
      <alignment wrapText="1"/>
    </xf>
    <xf numFmtId="0" fontId="16" fillId="0" borderId="0" xfId="1" applyFont="1"/>
    <xf numFmtId="3" fontId="16" fillId="0" borderId="0" xfId="1" applyNumberFormat="1" applyFont="1"/>
    <xf numFmtId="0" fontId="16" fillId="0" borderId="0" xfId="1" applyFont="1" applyAlignment="1">
      <alignment horizont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8" fillId="0" borderId="0" xfId="1" applyFont="1"/>
    <xf numFmtId="3" fontId="10" fillId="3" borderId="1" xfId="1" applyNumberFormat="1" applyFont="1" applyFill="1" applyBorder="1" applyAlignment="1">
      <alignment horizontal="right" vertical="top"/>
    </xf>
    <xf numFmtId="3" fontId="10" fillId="3" borderId="7" xfId="1" applyNumberFormat="1" applyFont="1" applyFill="1" applyBorder="1" applyAlignment="1">
      <alignment horizontal="right" vertical="top"/>
    </xf>
    <xf numFmtId="0" fontId="12" fillId="3" borderId="0" xfId="0" applyFont="1" applyFill="1" applyAlignment="1">
      <alignment horizontal="center"/>
    </xf>
    <xf numFmtId="0" fontId="20" fillId="0" borderId="0" xfId="1" applyFont="1"/>
    <xf numFmtId="0" fontId="22" fillId="0" borderId="0" xfId="1" applyFont="1"/>
    <xf numFmtId="0" fontId="1" fillId="3" borderId="0" xfId="0" applyFont="1" applyFill="1" applyAlignment="1">
      <alignment horizontal="center"/>
    </xf>
    <xf numFmtId="0" fontId="14" fillId="3" borderId="0" xfId="0" applyFont="1" applyFill="1"/>
    <xf numFmtId="0" fontId="0" fillId="3" borderId="0" xfId="0" applyFill="1"/>
    <xf numFmtId="0" fontId="22" fillId="0" borderId="0" xfId="0" quotePrefix="1" applyFont="1"/>
    <xf numFmtId="0" fontId="10" fillId="0" borderId="2" xfId="1" applyFont="1" applyBorder="1" applyAlignment="1">
      <alignment horizontal="center" vertical="center" wrapText="1"/>
    </xf>
    <xf numFmtId="14" fontId="17" fillId="2" borderId="1" xfId="1" applyNumberFormat="1" applyFont="1" applyFill="1" applyBorder="1" applyAlignment="1">
      <alignment horizontal="center" wrapText="1"/>
    </xf>
    <xf numFmtId="14" fontId="17" fillId="2" borderId="7" xfId="1" applyNumberFormat="1" applyFont="1" applyFill="1" applyBorder="1" applyAlignment="1">
      <alignment horizontal="center" wrapText="1"/>
    </xf>
    <xf numFmtId="164" fontId="23" fillId="0" borderId="0" xfId="0" applyNumberFormat="1" applyFont="1"/>
    <xf numFmtId="164" fontId="24" fillId="0" borderId="0" xfId="0" applyNumberFormat="1" applyFont="1"/>
    <xf numFmtId="164" fontId="23" fillId="0" borderId="2" xfId="0" applyNumberFormat="1" applyFont="1" applyBorder="1"/>
    <xf numFmtId="164" fontId="24" fillId="0" borderId="2" xfId="0" applyNumberFormat="1" applyFont="1" applyBorder="1"/>
    <xf numFmtId="4" fontId="7" fillId="0" borderId="0" xfId="1" applyNumberFormat="1" applyFont="1"/>
    <xf numFmtId="4" fontId="10" fillId="2" borderId="2" xfId="1" applyNumberFormat="1" applyFont="1" applyFill="1" applyBorder="1" applyAlignment="1">
      <alignment horizontal="right" vertical="top"/>
    </xf>
    <xf numFmtId="4" fontId="10" fillId="0" borderId="2" xfId="1" applyNumberFormat="1" applyFont="1" applyBorder="1" applyAlignment="1">
      <alignment horizontal="right" vertical="top"/>
    </xf>
    <xf numFmtId="4" fontId="11" fillId="0" borderId="2" xfId="1" applyNumberFormat="1" applyFont="1" applyBorder="1" applyAlignment="1">
      <alignment horizontal="right" vertical="top"/>
    </xf>
    <xf numFmtId="4" fontId="11" fillId="2" borderId="2" xfId="1" applyNumberFormat="1" applyFont="1" applyFill="1" applyBorder="1" applyAlignment="1">
      <alignment horizontal="right" vertical="top"/>
    </xf>
    <xf numFmtId="0" fontId="25" fillId="0" borderId="0" xfId="0" applyFont="1"/>
    <xf numFmtId="0" fontId="21" fillId="0" borderId="9" xfId="0" applyFont="1" applyBorder="1" applyAlignment="1">
      <alignment vertical="top" wrapText="1"/>
    </xf>
    <xf numFmtId="0" fontId="10" fillId="0" borderId="16" xfId="1" applyFont="1" applyBorder="1" applyAlignment="1">
      <alignment horizontal="center" vertical="center" wrapText="1"/>
    </xf>
    <xf numFmtId="0" fontId="10" fillId="0" borderId="16" xfId="1" quotePrefix="1" applyFont="1" applyBorder="1" applyAlignment="1">
      <alignment horizontal="center" vertical="center" wrapText="1"/>
    </xf>
    <xf numFmtId="0" fontId="10" fillId="0" borderId="17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1" fillId="0" borderId="18" xfId="1" applyFont="1" applyBorder="1" applyAlignment="1">
      <alignment vertical="top" wrapText="1"/>
    </xf>
    <xf numFmtId="3" fontId="10" fillId="2" borderId="19" xfId="1" applyNumberFormat="1" applyFont="1" applyFill="1" applyBorder="1" applyAlignment="1">
      <alignment horizontal="right" vertical="top"/>
    </xf>
    <xf numFmtId="3" fontId="10" fillId="2" borderId="20" xfId="1" applyNumberFormat="1" applyFont="1" applyFill="1" applyBorder="1" applyAlignment="1">
      <alignment horizontal="right" vertical="top"/>
    </xf>
    <xf numFmtId="0" fontId="21" fillId="0" borderId="9" xfId="0" applyFont="1" applyBorder="1" applyAlignment="1">
      <alignment horizontal="left" vertical="top" wrapText="1"/>
    </xf>
    <xf numFmtId="0" fontId="4" fillId="2" borderId="1" xfId="1" applyFont="1" applyFill="1" applyBorder="1" applyAlignment="1">
      <alignment horizontal="left"/>
    </xf>
    <xf numFmtId="0" fontId="4" fillId="2" borderId="8" xfId="1" applyFont="1" applyFill="1" applyBorder="1" applyAlignment="1">
      <alignment horizontal="left"/>
    </xf>
    <xf numFmtId="0" fontId="4" fillId="2" borderId="10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left"/>
    </xf>
    <xf numFmtId="0" fontId="5" fillId="0" borderId="0" xfId="1" applyFont="1" applyAlignment="1">
      <alignment horizontal="center" wrapText="1"/>
    </xf>
    <xf numFmtId="0" fontId="19" fillId="2" borderId="0" xfId="1" applyFont="1" applyFill="1" applyAlignment="1">
      <alignment horizontal="center"/>
    </xf>
    <xf numFmtId="0" fontId="11" fillId="0" borderId="14" xfId="1" applyFont="1" applyBorder="1" applyAlignment="1">
      <alignment horizontal="center" vertical="center" wrapText="1"/>
    </xf>
    <xf numFmtId="0" fontId="11" fillId="0" borderId="15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wrapText="1"/>
    </xf>
    <xf numFmtId="0" fontId="11" fillId="0" borderId="5" xfId="1" applyFont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1" fillId="0" borderId="3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1" fontId="4" fillId="2" borderId="12" xfId="1" applyNumberFormat="1" applyFont="1" applyFill="1" applyBorder="1" applyAlignment="1">
      <alignment horizontal="left"/>
    </xf>
    <xf numFmtId="1" fontId="4" fillId="2" borderId="13" xfId="1" applyNumberFormat="1" applyFont="1" applyFill="1" applyBorder="1" applyAlignment="1">
      <alignment horizontal="left"/>
    </xf>
    <xf numFmtId="14" fontId="19" fillId="2" borderId="0" xfId="1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</cellXfs>
  <cellStyles count="2">
    <cellStyle name="Navadno 2" xfId="1" xr:uid="{5031C5F9-4E9B-45D7-96D5-806CCE7211E1}"/>
    <cellStyle name="Normal" xfId="0" builtinId="0"/>
  </cellStyles>
  <dxfs count="12">
    <dxf>
      <numFmt numFmtId="4" formatCode="#,##0.00"/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4" formatCode="#,##0.00"/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FF0000"/>
      </font>
    </dxf>
    <dxf>
      <numFmt numFmtId="4" formatCode="#,##0.00"/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4D322-730A-4753-8BF3-2784AFB23DD4}">
  <sheetPr>
    <pageSetUpPr fitToPage="1"/>
  </sheetPr>
  <dimension ref="A1:M110"/>
  <sheetViews>
    <sheetView showGridLines="0" topLeftCell="A29" zoomScaleNormal="100" workbookViewId="0">
      <selection activeCell="D66" sqref="D66"/>
    </sheetView>
  </sheetViews>
  <sheetFormatPr defaultRowHeight="15"/>
  <cols>
    <col min="1" max="1" width="8.7109375" customWidth="1"/>
    <col min="2" max="2" width="16.7109375" bestFit="1" customWidth="1"/>
    <col min="3" max="3" width="49.5703125" bestFit="1" customWidth="1"/>
    <col min="4" max="5" width="15.7109375" customWidth="1"/>
    <col min="6" max="7" width="17.28515625" customWidth="1"/>
    <col min="8" max="8" width="1.85546875" customWidth="1"/>
    <col min="11" max="11" width="9.5703125" customWidth="1"/>
  </cols>
  <sheetData>
    <row r="1" spans="1:9">
      <c r="C1" s="95" t="s">
        <v>0</v>
      </c>
      <c r="D1" s="95"/>
      <c r="E1" s="95"/>
    </row>
    <row r="2" spans="1:9">
      <c r="C2" s="48"/>
      <c r="D2" s="48"/>
      <c r="E2" s="48"/>
    </row>
    <row r="3" spans="1:9">
      <c r="C3" s="49" t="s">
        <v>1</v>
      </c>
      <c r="D3" s="77"/>
      <c r="E3" s="78"/>
      <c r="F3" s="68"/>
    </row>
    <row r="4" spans="1:9">
      <c r="C4" s="49" t="s">
        <v>2</v>
      </c>
      <c r="D4" s="77"/>
      <c r="E4" s="78"/>
      <c r="F4" s="68"/>
    </row>
    <row r="5" spans="1:9">
      <c r="C5" s="49" t="s">
        <v>3</v>
      </c>
      <c r="D5" s="79"/>
      <c r="E5" s="80"/>
      <c r="F5" s="49" t="s">
        <v>4</v>
      </c>
      <c r="G5" s="92"/>
      <c r="H5" s="93"/>
    </row>
    <row r="6" spans="1:9">
      <c r="C6" s="49" t="s">
        <v>5</v>
      </c>
      <c r="D6" s="79"/>
      <c r="E6" s="80"/>
      <c r="F6" s="49" t="s">
        <v>6</v>
      </c>
      <c r="G6" s="92"/>
      <c r="H6" s="93"/>
    </row>
    <row r="7" spans="1:9" ht="23.1" customHeight="1">
      <c r="C7" s="81" t="s">
        <v>7</v>
      </c>
      <c r="D7" s="81"/>
      <c r="E7" s="81"/>
      <c r="F7" s="6"/>
      <c r="G7" s="6"/>
      <c r="H7" s="1"/>
    </row>
    <row r="8" spans="1:9" ht="15" customHeight="1">
      <c r="C8" s="94"/>
      <c r="D8" s="82"/>
      <c r="E8" s="82"/>
      <c r="F8" s="50"/>
      <c r="G8" s="7"/>
      <c r="H8" s="1"/>
    </row>
    <row r="9" spans="1:9" ht="23.25" customHeight="1" thickBot="1">
      <c r="C9" s="14"/>
      <c r="D9" s="14"/>
      <c r="E9" s="15" t="s">
        <v>8</v>
      </c>
      <c r="F9" s="12"/>
      <c r="H9" s="1"/>
    </row>
    <row r="10" spans="1:9">
      <c r="A10" s="90" t="s">
        <v>9</v>
      </c>
      <c r="B10" s="90" t="s">
        <v>10</v>
      </c>
      <c r="C10" s="85" t="s">
        <v>11</v>
      </c>
      <c r="D10" s="87" t="s">
        <v>12</v>
      </c>
      <c r="E10" s="88"/>
      <c r="F10" s="45"/>
    </row>
    <row r="11" spans="1:9">
      <c r="A11" s="91"/>
      <c r="B11" s="91"/>
      <c r="C11" s="86"/>
      <c r="D11" s="56" t="s">
        <v>13</v>
      </c>
      <c r="E11" s="57"/>
      <c r="F11" s="50"/>
    </row>
    <row r="12" spans="1:9" s="5" customFormat="1">
      <c r="A12" s="55" t="s">
        <v>14</v>
      </c>
      <c r="B12" s="55" t="s">
        <v>15</v>
      </c>
      <c r="C12" s="16" t="s">
        <v>16</v>
      </c>
      <c r="D12" s="58">
        <f>D13+D43+D64+D107</f>
        <v>0</v>
      </c>
      <c r="E12" s="17"/>
      <c r="F12" s="62"/>
      <c r="I12" s="4"/>
    </row>
    <row r="13" spans="1:9" s="5" customFormat="1">
      <c r="A13" s="55" t="s">
        <v>17</v>
      </c>
      <c r="B13" s="55" t="s">
        <v>18</v>
      </c>
      <c r="C13" s="18" t="s">
        <v>19</v>
      </c>
      <c r="D13" s="60">
        <f>D14+D21+D29+D30+D38+D42</f>
        <v>0</v>
      </c>
      <c r="E13" s="17"/>
      <c r="F13" s="62"/>
      <c r="I13" s="4"/>
    </row>
    <row r="14" spans="1:9" s="5" customFormat="1" ht="30">
      <c r="A14" s="55" t="s">
        <v>20</v>
      </c>
      <c r="B14" s="55" t="s">
        <v>21</v>
      </c>
      <c r="C14" s="19" t="s">
        <v>22</v>
      </c>
      <c r="D14" s="61">
        <f>D15+D20</f>
        <v>0</v>
      </c>
      <c r="E14" s="21"/>
      <c r="F14" s="8"/>
      <c r="I14" s="4"/>
    </row>
    <row r="15" spans="1:9">
      <c r="A15" s="55" t="s">
        <v>23</v>
      </c>
      <c r="B15" s="55" t="s">
        <v>24</v>
      </c>
      <c r="C15" s="20" t="s">
        <v>25</v>
      </c>
      <c r="D15" s="64">
        <f>D16+D17+D18+D19</f>
        <v>0</v>
      </c>
      <c r="E15" s="21"/>
      <c r="F15" s="1"/>
      <c r="I15" s="3"/>
    </row>
    <row r="16" spans="1:9">
      <c r="A16" s="55" t="s">
        <v>26</v>
      </c>
      <c r="B16" s="55" t="s">
        <v>27</v>
      </c>
      <c r="C16" s="22" t="s">
        <v>28</v>
      </c>
      <c r="D16" s="63"/>
      <c r="E16" s="23"/>
      <c r="F16" s="1"/>
      <c r="I16" s="3"/>
    </row>
    <row r="17" spans="1:9">
      <c r="A17" s="55" t="s">
        <v>29</v>
      </c>
      <c r="B17" s="55" t="s">
        <v>30</v>
      </c>
      <c r="C17" s="22" t="s">
        <v>31</v>
      </c>
      <c r="D17" s="63">
        <v>0</v>
      </c>
      <c r="E17" s="23"/>
      <c r="F17" s="1"/>
      <c r="I17" s="3"/>
    </row>
    <row r="18" spans="1:9">
      <c r="A18" s="55" t="s">
        <v>32</v>
      </c>
      <c r="B18" s="55" t="s">
        <v>33</v>
      </c>
      <c r="C18" s="22" t="s">
        <v>34</v>
      </c>
      <c r="D18" s="63">
        <v>0</v>
      </c>
      <c r="E18" s="23"/>
      <c r="F18" s="1"/>
      <c r="I18" s="3"/>
    </row>
    <row r="19" spans="1:9">
      <c r="A19" s="55" t="s">
        <v>35</v>
      </c>
      <c r="B19" s="55" t="s">
        <v>36</v>
      </c>
      <c r="C19" s="22" t="s">
        <v>37</v>
      </c>
      <c r="D19" s="63">
        <v>0</v>
      </c>
      <c r="E19" s="23"/>
      <c r="F19" s="1"/>
      <c r="I19" s="3"/>
    </row>
    <row r="20" spans="1:9">
      <c r="A20" s="55" t="s">
        <v>38</v>
      </c>
      <c r="B20" s="55" t="s">
        <v>39</v>
      </c>
      <c r="C20" s="20" t="s">
        <v>40</v>
      </c>
      <c r="D20" s="63">
        <v>0</v>
      </c>
      <c r="E20" s="23"/>
      <c r="F20" s="1"/>
      <c r="I20" s="3"/>
    </row>
    <row r="21" spans="1:9" s="5" customFormat="1">
      <c r="A21" s="55" t="s">
        <v>41</v>
      </c>
      <c r="B21" s="55" t="s">
        <v>42</v>
      </c>
      <c r="C21" s="19" t="s">
        <v>43</v>
      </c>
      <c r="D21" s="60">
        <f>D22+D23+D24+D25+D26+D27+D28</f>
        <v>0</v>
      </c>
      <c r="E21" s="21"/>
      <c r="F21" s="8"/>
      <c r="I21" s="4"/>
    </row>
    <row r="22" spans="1:9">
      <c r="A22" s="55" t="s">
        <v>44</v>
      </c>
      <c r="B22" s="55" t="s">
        <v>45</v>
      </c>
      <c r="C22" s="20" t="s">
        <v>46</v>
      </c>
      <c r="D22" s="63">
        <v>0</v>
      </c>
      <c r="E22" s="23"/>
      <c r="F22" s="1"/>
      <c r="I22" s="3"/>
    </row>
    <row r="23" spans="1:9">
      <c r="A23" s="55" t="s">
        <v>47</v>
      </c>
      <c r="B23" s="55" t="s">
        <v>48</v>
      </c>
      <c r="C23" s="20" t="s">
        <v>49</v>
      </c>
      <c r="D23" s="63">
        <v>0</v>
      </c>
      <c r="E23" s="23"/>
      <c r="F23" s="1"/>
      <c r="I23" s="3"/>
    </row>
    <row r="24" spans="1:9">
      <c r="A24" s="55" t="s">
        <v>50</v>
      </c>
      <c r="B24" s="55" t="s">
        <v>51</v>
      </c>
      <c r="C24" s="20" t="s">
        <v>52</v>
      </c>
      <c r="D24" s="63">
        <v>0</v>
      </c>
      <c r="E24" s="23"/>
      <c r="F24" s="1"/>
      <c r="I24" s="3"/>
    </row>
    <row r="25" spans="1:9" ht="28.5">
      <c r="A25" s="55" t="s">
        <v>53</v>
      </c>
      <c r="B25" s="55" t="s">
        <v>54</v>
      </c>
      <c r="C25" s="20" t="s">
        <v>55</v>
      </c>
      <c r="D25" s="63">
        <v>0</v>
      </c>
      <c r="E25" s="23"/>
      <c r="F25" s="1"/>
      <c r="I25" s="3"/>
    </row>
    <row r="26" spans="1:9">
      <c r="A26" s="55" t="s">
        <v>56</v>
      </c>
      <c r="B26" s="55" t="s">
        <v>57</v>
      </c>
      <c r="C26" s="20" t="s">
        <v>58</v>
      </c>
      <c r="D26" s="63">
        <v>0</v>
      </c>
      <c r="E26" s="23"/>
      <c r="F26" s="1"/>
      <c r="I26" s="3"/>
    </row>
    <row r="27" spans="1:9" ht="28.5">
      <c r="A27" s="55" t="s">
        <v>59</v>
      </c>
      <c r="B27" s="55" t="s">
        <v>60</v>
      </c>
      <c r="C27" s="20" t="s">
        <v>61</v>
      </c>
      <c r="D27" s="63">
        <v>0</v>
      </c>
      <c r="E27" s="23"/>
      <c r="F27" s="1"/>
      <c r="I27" s="3"/>
    </row>
    <row r="28" spans="1:9" ht="28.5">
      <c r="A28" s="55" t="s">
        <v>62</v>
      </c>
      <c r="B28" s="55" t="s">
        <v>63</v>
      </c>
      <c r="C28" s="20" t="s">
        <v>64</v>
      </c>
      <c r="D28" s="63">
        <v>0</v>
      </c>
      <c r="E28" s="23"/>
      <c r="F28" s="1"/>
      <c r="I28" s="3"/>
    </row>
    <row r="29" spans="1:9" s="5" customFormat="1">
      <c r="A29" s="55" t="s">
        <v>65</v>
      </c>
      <c r="B29" s="55" t="s">
        <v>66</v>
      </c>
      <c r="C29" s="19" t="s">
        <v>67</v>
      </c>
      <c r="D29" s="63">
        <v>0</v>
      </c>
      <c r="E29" s="23"/>
      <c r="F29" s="8"/>
      <c r="I29" s="4"/>
    </row>
    <row r="30" spans="1:9" s="5" customFormat="1">
      <c r="A30" s="55" t="s">
        <v>68</v>
      </c>
      <c r="B30" s="55" t="s">
        <v>69</v>
      </c>
      <c r="C30" s="19" t="s">
        <v>70</v>
      </c>
      <c r="D30" s="58">
        <f>D31+D35</f>
        <v>0</v>
      </c>
      <c r="E30" s="21"/>
      <c r="F30" s="8"/>
      <c r="I30" s="4"/>
    </row>
    <row r="31" spans="1:9">
      <c r="A31" s="55" t="s">
        <v>71</v>
      </c>
      <c r="B31" s="55" t="s">
        <v>72</v>
      </c>
      <c r="C31" s="20" t="s">
        <v>73</v>
      </c>
      <c r="D31" s="64">
        <f>D32+D33+D34</f>
        <v>0</v>
      </c>
      <c r="E31" s="21"/>
      <c r="F31" s="1"/>
      <c r="I31" s="3"/>
    </row>
    <row r="32" spans="1:9">
      <c r="A32" s="55" t="s">
        <v>74</v>
      </c>
      <c r="B32" s="55" t="s">
        <v>75</v>
      </c>
      <c r="C32" s="22" t="s">
        <v>76</v>
      </c>
      <c r="D32" s="63">
        <v>0</v>
      </c>
      <c r="E32" s="23"/>
      <c r="F32" s="1"/>
      <c r="I32" s="3"/>
    </row>
    <row r="33" spans="1:9">
      <c r="A33" s="55" t="s">
        <v>77</v>
      </c>
      <c r="B33" s="55" t="s">
        <v>78</v>
      </c>
      <c r="C33" s="22" t="s">
        <v>79</v>
      </c>
      <c r="D33" s="63">
        <v>0</v>
      </c>
      <c r="E33" s="23"/>
      <c r="F33" s="1"/>
      <c r="I33" s="3"/>
    </row>
    <row r="34" spans="1:9">
      <c r="A34" s="55" t="s">
        <v>80</v>
      </c>
      <c r="B34" s="55" t="s">
        <v>81</v>
      </c>
      <c r="C34" s="22" t="s">
        <v>82</v>
      </c>
      <c r="D34" s="63">
        <v>0</v>
      </c>
      <c r="E34" s="23"/>
      <c r="F34" s="1"/>
      <c r="I34" s="3"/>
    </row>
    <row r="35" spans="1:9">
      <c r="A35" s="55" t="s">
        <v>83</v>
      </c>
      <c r="B35" s="55" t="s">
        <v>84</v>
      </c>
      <c r="C35" s="20" t="s">
        <v>85</v>
      </c>
      <c r="D35" s="59">
        <f>D36+D37</f>
        <v>0</v>
      </c>
      <c r="E35" s="21"/>
      <c r="F35" s="1"/>
      <c r="I35" s="3"/>
    </row>
    <row r="36" spans="1:9">
      <c r="A36" s="55" t="s">
        <v>86</v>
      </c>
      <c r="B36" s="55" t="s">
        <v>87</v>
      </c>
      <c r="C36" s="22" t="s">
        <v>88</v>
      </c>
      <c r="D36" s="63">
        <v>0</v>
      </c>
      <c r="E36" s="23"/>
      <c r="F36" s="1"/>
      <c r="I36" s="3"/>
    </row>
    <row r="37" spans="1:9">
      <c r="A37" s="55" t="s">
        <v>89</v>
      </c>
      <c r="B37" s="55" t="s">
        <v>90</v>
      </c>
      <c r="C37" s="22" t="s">
        <v>91</v>
      </c>
      <c r="D37" s="63">
        <v>0</v>
      </c>
      <c r="E37" s="23"/>
      <c r="F37" s="1"/>
      <c r="I37" s="3"/>
    </row>
    <row r="38" spans="1:9" s="5" customFormat="1">
      <c r="A38" s="55" t="s">
        <v>92</v>
      </c>
      <c r="B38" s="55" t="s">
        <v>93</v>
      </c>
      <c r="C38" s="19" t="s">
        <v>94</v>
      </c>
      <c r="D38" s="64">
        <f>D39+D40+D41</f>
        <v>0</v>
      </c>
      <c r="E38" s="21"/>
      <c r="F38" s="8"/>
      <c r="I38" s="4"/>
    </row>
    <row r="39" spans="1:9" ht="28.5">
      <c r="A39" s="55" t="s">
        <v>95</v>
      </c>
      <c r="B39" s="55" t="s">
        <v>96</v>
      </c>
      <c r="C39" s="20" t="s">
        <v>97</v>
      </c>
      <c r="D39" s="63">
        <v>0</v>
      </c>
      <c r="E39" s="23"/>
      <c r="F39" s="1"/>
      <c r="I39" s="3"/>
    </row>
    <row r="40" spans="1:9">
      <c r="A40" s="55" t="s">
        <v>98</v>
      </c>
      <c r="B40" s="55" t="s">
        <v>99</v>
      </c>
      <c r="C40" s="20" t="s">
        <v>100</v>
      </c>
      <c r="D40" s="63">
        <v>0</v>
      </c>
      <c r="E40" s="23"/>
      <c r="F40" s="1"/>
      <c r="I40" s="3"/>
    </row>
    <row r="41" spans="1:9">
      <c r="A41" s="55" t="s">
        <v>101</v>
      </c>
      <c r="B41" s="55" t="s">
        <v>102</v>
      </c>
      <c r="C41" s="20" t="s">
        <v>103</v>
      </c>
      <c r="D41" s="63">
        <v>0</v>
      </c>
      <c r="E41" s="23"/>
      <c r="F41" s="1"/>
      <c r="I41" s="3"/>
    </row>
    <row r="42" spans="1:9" s="5" customFormat="1">
      <c r="A42" s="55" t="s">
        <v>104</v>
      </c>
      <c r="B42" s="55" t="s">
        <v>105</v>
      </c>
      <c r="C42" s="19" t="s">
        <v>106</v>
      </c>
      <c r="D42" s="63">
        <v>0</v>
      </c>
      <c r="E42" s="23"/>
      <c r="F42" s="8"/>
      <c r="I42" s="4"/>
    </row>
    <row r="43" spans="1:9" s="5" customFormat="1">
      <c r="A43" s="55" t="s">
        <v>107</v>
      </c>
      <c r="B43" s="55" t="s">
        <v>108</v>
      </c>
      <c r="C43" s="16" t="s">
        <v>109</v>
      </c>
      <c r="D43" s="65">
        <f>D44+D45+D51+D59+D63</f>
        <v>0</v>
      </c>
      <c r="E43" s="17"/>
      <c r="F43" s="8"/>
      <c r="I43" s="4"/>
    </row>
    <row r="44" spans="1:9" s="5" customFormat="1">
      <c r="A44" s="55" t="s">
        <v>110</v>
      </c>
      <c r="B44" s="55" t="s">
        <v>111</v>
      </c>
      <c r="C44" s="19" t="s">
        <v>112</v>
      </c>
      <c r="D44" s="63">
        <v>0</v>
      </c>
      <c r="E44" s="23"/>
      <c r="F44" s="8"/>
      <c r="I44" s="4"/>
    </row>
    <row r="45" spans="1:9" s="5" customFormat="1">
      <c r="A45" s="55" t="s">
        <v>113</v>
      </c>
      <c r="B45" s="55" t="s">
        <v>114</v>
      </c>
      <c r="C45" s="19" t="s">
        <v>115</v>
      </c>
      <c r="D45" s="64">
        <f>D46+D47+D48+D49+D50</f>
        <v>0</v>
      </c>
      <c r="E45" s="21"/>
      <c r="F45" s="8"/>
      <c r="I45" s="4"/>
    </row>
    <row r="46" spans="1:9">
      <c r="A46" s="55" t="s">
        <v>116</v>
      </c>
      <c r="B46" s="55" t="s">
        <v>117</v>
      </c>
      <c r="C46" s="20" t="s">
        <v>118</v>
      </c>
      <c r="D46" s="63">
        <v>0</v>
      </c>
      <c r="E46" s="23"/>
      <c r="F46" s="1"/>
      <c r="I46" s="3"/>
    </row>
    <row r="47" spans="1:9">
      <c r="A47" s="55" t="s">
        <v>119</v>
      </c>
      <c r="B47" s="55" t="s">
        <v>120</v>
      </c>
      <c r="C47" s="20" t="s">
        <v>121</v>
      </c>
      <c r="D47" s="63">
        <v>0</v>
      </c>
      <c r="E47" s="23"/>
      <c r="F47" s="1"/>
      <c r="I47" s="3"/>
    </row>
    <row r="48" spans="1:9">
      <c r="A48" s="55" t="s">
        <v>122</v>
      </c>
      <c r="B48" s="55" t="s">
        <v>123</v>
      </c>
      <c r="C48" s="20" t="s">
        <v>124</v>
      </c>
      <c r="D48" s="63">
        <v>0</v>
      </c>
      <c r="E48" s="23"/>
      <c r="F48" s="1"/>
      <c r="I48" s="3"/>
    </row>
    <row r="49" spans="1:9">
      <c r="A49" s="55" t="s">
        <v>125</v>
      </c>
      <c r="B49" s="55" t="s">
        <v>126</v>
      </c>
      <c r="C49" s="20" t="s">
        <v>127</v>
      </c>
      <c r="D49" s="63">
        <v>0</v>
      </c>
      <c r="E49" s="23"/>
      <c r="F49" s="1"/>
      <c r="I49" s="3"/>
    </row>
    <row r="50" spans="1:9">
      <c r="A50" s="55" t="s">
        <v>128</v>
      </c>
      <c r="B50" s="55" t="s">
        <v>129</v>
      </c>
      <c r="C50" s="20" t="s">
        <v>130</v>
      </c>
      <c r="D50" s="63">
        <v>0</v>
      </c>
      <c r="E50" s="23"/>
      <c r="F50" s="1"/>
      <c r="I50" s="3"/>
    </row>
    <row r="51" spans="1:9" s="5" customFormat="1">
      <c r="A51" s="55" t="s">
        <v>131</v>
      </c>
      <c r="B51" s="55" t="s">
        <v>132</v>
      </c>
      <c r="C51" s="19" t="s">
        <v>133</v>
      </c>
      <c r="D51" s="64">
        <f>D52+D56</f>
        <v>0</v>
      </c>
      <c r="E51" s="21"/>
      <c r="F51" s="8"/>
      <c r="I51" s="4"/>
    </row>
    <row r="52" spans="1:9">
      <c r="A52" s="55" t="s">
        <v>134</v>
      </c>
      <c r="B52" s="55" t="s">
        <v>135</v>
      </c>
      <c r="C52" s="20" t="s">
        <v>136</v>
      </c>
      <c r="D52" s="64">
        <f>D53+D54+D55</f>
        <v>0</v>
      </c>
      <c r="E52" s="21"/>
      <c r="F52" s="1"/>
      <c r="I52" s="3"/>
    </row>
    <row r="53" spans="1:9">
      <c r="A53" s="55" t="s">
        <v>137</v>
      </c>
      <c r="B53" s="55" t="s">
        <v>138</v>
      </c>
      <c r="C53" s="22" t="s">
        <v>76</v>
      </c>
      <c r="D53" s="63">
        <v>0</v>
      </c>
      <c r="E53" s="23"/>
      <c r="F53" s="1"/>
      <c r="I53" s="3"/>
    </row>
    <row r="54" spans="1:9">
      <c r="A54" s="55" t="s">
        <v>139</v>
      </c>
      <c r="B54" s="55" t="s">
        <v>140</v>
      </c>
      <c r="C54" s="22" t="s">
        <v>79</v>
      </c>
      <c r="D54" s="63">
        <v>0</v>
      </c>
      <c r="E54" s="23"/>
      <c r="F54" s="1"/>
      <c r="I54" s="3"/>
    </row>
    <row r="55" spans="1:9">
      <c r="A55" s="55" t="s">
        <v>141</v>
      </c>
      <c r="B55" s="55" t="s">
        <v>142</v>
      </c>
      <c r="C55" s="22" t="s">
        <v>143</v>
      </c>
      <c r="D55" s="63">
        <v>0</v>
      </c>
      <c r="E55" s="23"/>
      <c r="F55" s="1"/>
      <c r="I55" s="3"/>
    </row>
    <row r="56" spans="1:9">
      <c r="A56" s="55" t="s">
        <v>144</v>
      </c>
      <c r="B56" s="55" t="s">
        <v>145</v>
      </c>
      <c r="C56" s="20" t="s">
        <v>146</v>
      </c>
      <c r="D56" s="64">
        <f>D57+D58</f>
        <v>0</v>
      </c>
      <c r="E56" s="21"/>
      <c r="F56" s="1"/>
      <c r="I56" s="3"/>
    </row>
    <row r="57" spans="1:9">
      <c r="A57" s="55" t="s">
        <v>147</v>
      </c>
      <c r="B57" s="55" t="s">
        <v>148</v>
      </c>
      <c r="C57" s="22" t="s">
        <v>149</v>
      </c>
      <c r="D57" s="63">
        <v>0</v>
      </c>
      <c r="E57" s="23"/>
      <c r="F57" s="1"/>
      <c r="I57" s="3"/>
    </row>
    <row r="58" spans="1:9">
      <c r="A58" s="55" t="s">
        <v>150</v>
      </c>
      <c r="B58" s="55" t="s">
        <v>151</v>
      </c>
      <c r="C58" s="22" t="s">
        <v>152</v>
      </c>
      <c r="D58" s="63">
        <v>0</v>
      </c>
      <c r="E58" s="63"/>
      <c r="F58" s="1"/>
      <c r="I58" s="3"/>
    </row>
    <row r="59" spans="1:9" s="5" customFormat="1">
      <c r="A59" s="55" t="s">
        <v>153</v>
      </c>
      <c r="B59" s="55" t="s">
        <v>154</v>
      </c>
      <c r="C59" s="19" t="s">
        <v>155</v>
      </c>
      <c r="D59" s="64">
        <f>D60+D61+D62</f>
        <v>0</v>
      </c>
      <c r="E59" s="21"/>
      <c r="F59" s="8"/>
      <c r="I59" s="4"/>
    </row>
    <row r="60" spans="1:9" ht="28.5">
      <c r="A60" s="55" t="s">
        <v>156</v>
      </c>
      <c r="B60" s="55" t="s">
        <v>157</v>
      </c>
      <c r="C60" s="20" t="s">
        <v>158</v>
      </c>
      <c r="D60" s="63">
        <v>0</v>
      </c>
      <c r="E60" s="23"/>
      <c r="F60" s="1"/>
      <c r="I60" s="3"/>
    </row>
    <row r="61" spans="1:9">
      <c r="A61" s="55" t="s">
        <v>159</v>
      </c>
      <c r="B61" s="55" t="s">
        <v>160</v>
      </c>
      <c r="C61" s="20" t="s">
        <v>161</v>
      </c>
      <c r="D61" s="63">
        <v>0</v>
      </c>
      <c r="E61" s="23"/>
      <c r="F61" s="1"/>
      <c r="I61" s="3"/>
    </row>
    <row r="62" spans="1:9">
      <c r="A62" s="55" t="s">
        <v>162</v>
      </c>
      <c r="B62" s="55" t="s">
        <v>163</v>
      </c>
      <c r="C62" s="20" t="s">
        <v>164</v>
      </c>
      <c r="D62" s="63">
        <v>0</v>
      </c>
      <c r="E62" s="23"/>
      <c r="F62" s="1"/>
      <c r="I62" s="3"/>
    </row>
    <row r="63" spans="1:9" s="5" customFormat="1">
      <c r="A63" s="55" t="s">
        <v>165</v>
      </c>
      <c r="B63" s="55" t="s">
        <v>166</v>
      </c>
      <c r="C63" s="19" t="s">
        <v>167</v>
      </c>
      <c r="D63" s="63">
        <v>0</v>
      </c>
      <c r="E63" s="23"/>
      <c r="F63" s="8"/>
      <c r="I63" s="4"/>
    </row>
    <row r="64" spans="1:9" s="5" customFormat="1" ht="30">
      <c r="A64" s="55" t="s">
        <v>168</v>
      </c>
      <c r="B64" s="55" t="s">
        <v>169</v>
      </c>
      <c r="C64" s="16" t="s">
        <v>170</v>
      </c>
      <c r="D64" s="66">
        <v>0</v>
      </c>
      <c r="E64" s="24"/>
      <c r="F64" s="8"/>
      <c r="I64" s="4"/>
    </row>
    <row r="65" spans="1:13" s="5" customFormat="1">
      <c r="A65" s="55" t="s">
        <v>171</v>
      </c>
      <c r="B65" s="55" t="s">
        <v>172</v>
      </c>
      <c r="C65" s="16" t="s">
        <v>173</v>
      </c>
      <c r="D65" s="66">
        <v>0</v>
      </c>
      <c r="E65" s="24"/>
      <c r="F65" s="8"/>
      <c r="I65" s="4"/>
    </row>
    <row r="66" spans="1:13" s="5" customFormat="1">
      <c r="A66" s="55" t="s">
        <v>174</v>
      </c>
      <c r="B66" s="55" t="s">
        <v>175</v>
      </c>
      <c r="C66" s="16" t="s">
        <v>176</v>
      </c>
      <c r="D66" s="65">
        <f>D67+D84+D87+D97</f>
        <v>0</v>
      </c>
      <c r="E66" s="17"/>
      <c r="F66" s="62"/>
      <c r="I66" s="4"/>
    </row>
    <row r="67" spans="1:13" s="5" customFormat="1">
      <c r="A67" s="55" t="s">
        <v>177</v>
      </c>
      <c r="B67" s="55" t="s">
        <v>178</v>
      </c>
      <c r="C67" s="18" t="s">
        <v>179</v>
      </c>
      <c r="D67" s="66">
        <f>D68+D71+D72+D78+D79</f>
        <v>0</v>
      </c>
      <c r="E67" s="24"/>
      <c r="F67" s="8"/>
      <c r="I67" s="4"/>
    </row>
    <row r="68" spans="1:13" s="5" customFormat="1">
      <c r="A68" s="55" t="s">
        <v>180</v>
      </c>
      <c r="B68" s="55" t="s">
        <v>181</v>
      </c>
      <c r="C68" s="19" t="s">
        <v>182</v>
      </c>
      <c r="D68" s="64">
        <f>D69+D70</f>
        <v>0</v>
      </c>
      <c r="E68" s="21"/>
      <c r="F68" s="8"/>
      <c r="I68" s="4"/>
    </row>
    <row r="69" spans="1:13">
      <c r="A69" s="55" t="s">
        <v>183</v>
      </c>
      <c r="B69" s="55" t="s">
        <v>184</v>
      </c>
      <c r="C69" s="20" t="s">
        <v>185</v>
      </c>
      <c r="D69" s="63">
        <v>0</v>
      </c>
      <c r="E69" s="23"/>
      <c r="F69" s="1"/>
      <c r="I69" s="3"/>
    </row>
    <row r="70" spans="1:13">
      <c r="A70" s="55" t="s">
        <v>186</v>
      </c>
      <c r="B70" s="55" t="s">
        <v>187</v>
      </c>
      <c r="C70" s="20" t="s">
        <v>188</v>
      </c>
      <c r="D70" s="63">
        <v>0</v>
      </c>
      <c r="E70" s="23"/>
      <c r="F70" s="1"/>
      <c r="I70" s="3"/>
      <c r="M70" s="67"/>
    </row>
    <row r="71" spans="1:13" s="5" customFormat="1">
      <c r="A71" s="55" t="s">
        <v>189</v>
      </c>
      <c r="B71" s="55" t="s">
        <v>190</v>
      </c>
      <c r="C71" s="19" t="s">
        <v>191</v>
      </c>
      <c r="D71" s="63">
        <v>0</v>
      </c>
      <c r="E71" s="23"/>
      <c r="F71" s="8"/>
      <c r="I71" s="4"/>
    </row>
    <row r="72" spans="1:13" s="5" customFormat="1">
      <c r="A72" s="55" t="s">
        <v>192</v>
      </c>
      <c r="B72" s="55" t="s">
        <v>193</v>
      </c>
      <c r="C72" s="19" t="s">
        <v>194</v>
      </c>
      <c r="D72" s="64">
        <f>D73+D74+D75+D76+D77</f>
        <v>0</v>
      </c>
      <c r="E72" s="21"/>
      <c r="F72" s="8"/>
      <c r="I72" s="4"/>
    </row>
    <row r="73" spans="1:13">
      <c r="A73" s="55" t="s">
        <v>195</v>
      </c>
      <c r="B73" s="55" t="s">
        <v>196</v>
      </c>
      <c r="C73" s="20" t="s">
        <v>197</v>
      </c>
      <c r="D73" s="63">
        <v>0</v>
      </c>
      <c r="E73" s="23"/>
      <c r="F73" s="1"/>
      <c r="I73" s="3"/>
    </row>
    <row r="74" spans="1:13" ht="28.5">
      <c r="A74" s="55" t="s">
        <v>198</v>
      </c>
      <c r="B74" s="55" t="s">
        <v>199</v>
      </c>
      <c r="C74" s="20" t="s">
        <v>200</v>
      </c>
      <c r="D74" s="63">
        <v>0</v>
      </c>
      <c r="E74" s="23"/>
      <c r="F74" s="1"/>
      <c r="I74" s="3"/>
    </row>
    <row r="75" spans="1:13" ht="28.5">
      <c r="A75" s="55" t="s">
        <v>201</v>
      </c>
      <c r="B75" s="55" t="s">
        <v>202</v>
      </c>
      <c r="C75" s="20" t="s">
        <v>203</v>
      </c>
      <c r="D75" s="63">
        <v>0</v>
      </c>
      <c r="E75" s="23"/>
      <c r="F75" s="1"/>
      <c r="I75" s="3"/>
    </row>
    <row r="76" spans="1:13">
      <c r="A76" s="55" t="s">
        <v>204</v>
      </c>
      <c r="B76" s="55" t="s">
        <v>205</v>
      </c>
      <c r="C76" s="20" t="s">
        <v>206</v>
      </c>
      <c r="D76" s="63">
        <v>0</v>
      </c>
      <c r="E76" s="23"/>
      <c r="F76" s="1"/>
      <c r="I76" s="3"/>
    </row>
    <row r="77" spans="1:13">
      <c r="A77" s="55" t="s">
        <v>207</v>
      </c>
      <c r="B77" s="55" t="s">
        <v>208</v>
      </c>
      <c r="C77" s="20" t="s">
        <v>209</v>
      </c>
      <c r="D77" s="63">
        <v>0</v>
      </c>
      <c r="E77" s="23"/>
      <c r="F77" s="1"/>
      <c r="I77" s="3"/>
    </row>
    <row r="78" spans="1:13" s="5" customFormat="1">
      <c r="A78" s="55" t="s">
        <v>210</v>
      </c>
      <c r="B78" s="55" t="s">
        <v>211</v>
      </c>
      <c r="C78" s="19" t="s">
        <v>212</v>
      </c>
      <c r="D78" s="63">
        <v>0</v>
      </c>
      <c r="E78" s="23"/>
      <c r="F78" s="8"/>
      <c r="I78" s="4"/>
    </row>
    <row r="79" spans="1:13" s="5" customFormat="1" ht="30">
      <c r="A79" s="55">
        <v>301</v>
      </c>
      <c r="B79" s="55" t="s">
        <v>213</v>
      </c>
      <c r="C79" s="19" t="s">
        <v>214</v>
      </c>
      <c r="D79" s="63">
        <v>0</v>
      </c>
      <c r="E79" s="23"/>
      <c r="F79" s="8"/>
      <c r="I79" s="4"/>
    </row>
    <row r="80" spans="1:13" s="5" customFormat="1">
      <c r="A80" s="55" t="s">
        <v>215</v>
      </c>
      <c r="B80" s="55" t="s">
        <v>216</v>
      </c>
      <c r="C80" s="19" t="s">
        <v>217</v>
      </c>
      <c r="D80" s="63">
        <v>0</v>
      </c>
      <c r="E80" s="23"/>
      <c r="F80" s="8"/>
      <c r="I80" s="4"/>
    </row>
    <row r="81" spans="1:9" s="5" customFormat="1">
      <c r="A81" s="55" t="s">
        <v>218</v>
      </c>
      <c r="B81" s="55" t="s">
        <v>219</v>
      </c>
      <c r="C81" s="19" t="s">
        <v>220</v>
      </c>
      <c r="D81" s="63">
        <v>0</v>
      </c>
      <c r="E81" s="23"/>
      <c r="F81" s="8"/>
      <c r="I81" s="4"/>
    </row>
    <row r="82" spans="1:9" s="5" customFormat="1">
      <c r="A82" s="55" t="s">
        <v>221</v>
      </c>
      <c r="B82" s="55" t="s">
        <v>222</v>
      </c>
      <c r="C82" s="19" t="s">
        <v>223</v>
      </c>
      <c r="D82" s="63">
        <v>0</v>
      </c>
      <c r="E82" s="23"/>
      <c r="F82" s="8"/>
      <c r="I82" s="4"/>
    </row>
    <row r="83" spans="1:9" s="5" customFormat="1">
      <c r="A83" s="55" t="s">
        <v>224</v>
      </c>
      <c r="B83" s="55" t="s">
        <v>225</v>
      </c>
      <c r="C83" s="19" t="s">
        <v>226</v>
      </c>
      <c r="D83" s="63">
        <v>0</v>
      </c>
      <c r="E83" s="23"/>
      <c r="F83" s="8"/>
      <c r="I83" s="4"/>
    </row>
    <row r="84" spans="1:9" s="5" customFormat="1" ht="30">
      <c r="A84" s="55" t="s">
        <v>227</v>
      </c>
      <c r="B84" s="55" t="s">
        <v>228</v>
      </c>
      <c r="C84" s="18" t="s">
        <v>229</v>
      </c>
      <c r="D84" s="65">
        <f>D85+D86</f>
        <v>0</v>
      </c>
      <c r="E84" s="17"/>
      <c r="F84" s="8"/>
      <c r="I84" s="4"/>
    </row>
    <row r="85" spans="1:9">
      <c r="A85" s="55" t="s">
        <v>230</v>
      </c>
      <c r="B85" s="55" t="s">
        <v>231</v>
      </c>
      <c r="C85" s="20" t="s">
        <v>232</v>
      </c>
      <c r="D85" s="63">
        <v>0</v>
      </c>
      <c r="E85" s="23"/>
      <c r="F85" s="1"/>
      <c r="I85" s="3"/>
    </row>
    <row r="86" spans="1:9">
      <c r="A86" s="55" t="s">
        <v>233</v>
      </c>
      <c r="B86" s="55" t="s">
        <v>234</v>
      </c>
      <c r="C86" s="20" t="s">
        <v>235</v>
      </c>
      <c r="D86" s="63">
        <v>0</v>
      </c>
      <c r="E86" s="23"/>
      <c r="F86" s="1"/>
      <c r="I86" s="3"/>
    </row>
    <row r="87" spans="1:9" s="5" customFormat="1">
      <c r="A87" s="55" t="s">
        <v>236</v>
      </c>
      <c r="B87" s="55" t="s">
        <v>237</v>
      </c>
      <c r="C87" s="18" t="s">
        <v>238</v>
      </c>
      <c r="D87" s="65">
        <f>D88+D92+D96</f>
        <v>0</v>
      </c>
      <c r="E87" s="17"/>
      <c r="F87" s="8"/>
      <c r="I87" s="4"/>
    </row>
    <row r="88" spans="1:9" s="5" customFormat="1">
      <c r="A88" s="55" t="s">
        <v>239</v>
      </c>
      <c r="B88" s="55" t="s">
        <v>240</v>
      </c>
      <c r="C88" s="19" t="s">
        <v>241</v>
      </c>
      <c r="D88" s="64">
        <f>D89+D90+D91</f>
        <v>0</v>
      </c>
      <c r="E88" s="21"/>
      <c r="F88" s="8"/>
      <c r="I88" s="4"/>
    </row>
    <row r="89" spans="1:9" ht="28.5">
      <c r="A89" s="55" t="s">
        <v>242</v>
      </c>
      <c r="B89" s="55" t="s">
        <v>243</v>
      </c>
      <c r="C89" s="20" t="s">
        <v>244</v>
      </c>
      <c r="D89" s="63">
        <v>0</v>
      </c>
      <c r="E89" s="23"/>
      <c r="F89" s="1"/>
      <c r="I89" s="3"/>
    </row>
    <row r="90" spans="1:9">
      <c r="A90" s="55" t="s">
        <v>245</v>
      </c>
      <c r="B90" s="55" t="s">
        <v>246</v>
      </c>
      <c r="C90" s="20" t="s">
        <v>247</v>
      </c>
      <c r="D90" s="63">
        <v>0</v>
      </c>
      <c r="E90" s="23"/>
      <c r="F90" s="1"/>
      <c r="I90" s="3"/>
    </row>
    <row r="91" spans="1:9">
      <c r="A91" s="55" t="s">
        <v>248</v>
      </c>
      <c r="B91" s="55" t="s">
        <v>249</v>
      </c>
      <c r="C91" s="20" t="s">
        <v>250</v>
      </c>
      <c r="D91" s="63">
        <v>0</v>
      </c>
      <c r="E91" s="23"/>
      <c r="F91" s="1"/>
      <c r="I91" s="3"/>
    </row>
    <row r="92" spans="1:9" s="5" customFormat="1">
      <c r="A92" s="55" t="s">
        <v>251</v>
      </c>
      <c r="B92" s="55" t="s">
        <v>252</v>
      </c>
      <c r="C92" s="19" t="s">
        <v>253</v>
      </c>
      <c r="D92" s="64">
        <f>D93+D94+D95</f>
        <v>0</v>
      </c>
      <c r="E92" s="21"/>
      <c r="F92" s="8"/>
      <c r="I92" s="4"/>
    </row>
    <row r="93" spans="1:9" ht="28.5">
      <c r="A93" s="55" t="s">
        <v>254</v>
      </c>
      <c r="B93" s="55" t="s">
        <v>255</v>
      </c>
      <c r="C93" s="20" t="s">
        <v>256</v>
      </c>
      <c r="D93" s="63">
        <v>0</v>
      </c>
      <c r="E93" s="23"/>
      <c r="F93" s="1"/>
      <c r="I93" s="3"/>
    </row>
    <row r="94" spans="1:9" ht="28.5">
      <c r="A94" s="55" t="s">
        <v>257</v>
      </c>
      <c r="B94" s="55" t="s">
        <v>258</v>
      </c>
      <c r="C94" s="20" t="s">
        <v>259</v>
      </c>
      <c r="D94" s="63">
        <v>0</v>
      </c>
      <c r="E94" s="23"/>
      <c r="F94" s="1"/>
      <c r="I94" s="3"/>
    </row>
    <row r="95" spans="1:9">
      <c r="A95" s="55" t="s">
        <v>260</v>
      </c>
      <c r="B95" s="55" t="s">
        <v>261</v>
      </c>
      <c r="C95" s="20" t="s">
        <v>262</v>
      </c>
      <c r="D95" s="63">
        <v>0</v>
      </c>
      <c r="E95" s="23"/>
      <c r="F95" s="1"/>
      <c r="I95" s="3"/>
    </row>
    <row r="96" spans="1:9" s="5" customFormat="1">
      <c r="A96" s="55" t="s">
        <v>263</v>
      </c>
      <c r="B96" s="55" t="s">
        <v>264</v>
      </c>
      <c r="C96" s="19" t="s">
        <v>265</v>
      </c>
      <c r="D96" s="63">
        <v>0</v>
      </c>
      <c r="E96" s="23"/>
      <c r="F96" s="8"/>
      <c r="I96" s="4"/>
    </row>
    <row r="97" spans="1:9" s="10" customFormat="1">
      <c r="A97" s="55" t="s">
        <v>266</v>
      </c>
      <c r="B97" s="55" t="s">
        <v>267</v>
      </c>
      <c r="C97" s="18" t="s">
        <v>268</v>
      </c>
      <c r="D97" s="65">
        <f>D98+D99+D103</f>
        <v>0</v>
      </c>
      <c r="E97" s="17"/>
      <c r="F97" s="9"/>
      <c r="I97" s="11"/>
    </row>
    <row r="98" spans="1:9" s="5" customFormat="1" ht="30">
      <c r="A98" s="55" t="s">
        <v>269</v>
      </c>
      <c r="B98" s="55" t="s">
        <v>270</v>
      </c>
      <c r="C98" s="19" t="s">
        <v>271</v>
      </c>
      <c r="D98" s="63">
        <v>0</v>
      </c>
      <c r="E98" s="63"/>
      <c r="F98" s="8"/>
      <c r="I98" s="4"/>
    </row>
    <row r="99" spans="1:9" s="5" customFormat="1">
      <c r="A99" s="55" t="s">
        <v>272</v>
      </c>
      <c r="B99" s="55" t="s">
        <v>273</v>
      </c>
      <c r="C99" s="19" t="s">
        <v>274</v>
      </c>
      <c r="D99" s="64">
        <f>D100+D101+D102</f>
        <v>0</v>
      </c>
      <c r="E99" s="21"/>
      <c r="F99" s="8"/>
      <c r="I99" s="4"/>
    </row>
    <row r="100" spans="1:9" ht="28.5">
      <c r="A100" s="55" t="s">
        <v>275</v>
      </c>
      <c r="B100" s="55" t="s">
        <v>276</v>
      </c>
      <c r="C100" s="20" t="s">
        <v>277</v>
      </c>
      <c r="D100" s="63">
        <v>0</v>
      </c>
      <c r="E100" s="23"/>
      <c r="F100" s="1"/>
      <c r="I100" s="3"/>
    </row>
    <row r="101" spans="1:9">
      <c r="A101" s="55" t="s">
        <v>278</v>
      </c>
      <c r="B101" s="55" t="s">
        <v>279</v>
      </c>
      <c r="C101" s="20" t="s">
        <v>280</v>
      </c>
      <c r="D101" s="63">
        <v>0</v>
      </c>
      <c r="E101" s="23"/>
      <c r="F101" s="1"/>
      <c r="I101" s="3"/>
    </row>
    <row r="102" spans="1:9">
      <c r="A102" s="55" t="s">
        <v>281</v>
      </c>
      <c r="B102" s="55" t="s">
        <v>282</v>
      </c>
      <c r="C102" s="20" t="s">
        <v>283</v>
      </c>
      <c r="D102" s="63">
        <v>0</v>
      </c>
      <c r="E102" s="23"/>
      <c r="F102" s="1"/>
      <c r="I102" s="3"/>
    </row>
    <row r="103" spans="1:9" s="5" customFormat="1">
      <c r="A103" s="55" t="s">
        <v>284</v>
      </c>
      <c r="B103" s="55" t="s">
        <v>285</v>
      </c>
      <c r="C103" s="19" t="s">
        <v>286</v>
      </c>
      <c r="D103" s="64">
        <f>D104+D105+D106</f>
        <v>0</v>
      </c>
      <c r="E103" s="21"/>
      <c r="F103" s="8"/>
      <c r="I103" s="4"/>
    </row>
    <row r="104" spans="1:9" ht="28.5">
      <c r="A104" s="55" t="s">
        <v>287</v>
      </c>
      <c r="B104" s="55" t="s">
        <v>288</v>
      </c>
      <c r="C104" s="20" t="s">
        <v>289</v>
      </c>
      <c r="D104" s="63">
        <v>0</v>
      </c>
      <c r="E104" s="23"/>
      <c r="F104" s="1"/>
      <c r="I104" s="3"/>
    </row>
    <row r="105" spans="1:9" ht="28.5">
      <c r="A105" s="55" t="s">
        <v>290</v>
      </c>
      <c r="B105" s="55" t="s">
        <v>291</v>
      </c>
      <c r="C105" s="20" t="s">
        <v>292</v>
      </c>
      <c r="D105" s="63">
        <v>0</v>
      </c>
      <c r="E105" s="23"/>
      <c r="F105" s="1"/>
      <c r="I105" s="3"/>
    </row>
    <row r="106" spans="1:9">
      <c r="A106" s="55" t="s">
        <v>293</v>
      </c>
      <c r="B106" s="55" t="s">
        <v>294</v>
      </c>
      <c r="C106" s="20" t="s">
        <v>295</v>
      </c>
      <c r="D106" s="63">
        <v>0</v>
      </c>
      <c r="E106" s="23"/>
      <c r="F106" s="1"/>
      <c r="I106" s="3"/>
    </row>
    <row r="107" spans="1:9" s="5" customFormat="1" ht="30">
      <c r="A107" s="55" t="s">
        <v>296</v>
      </c>
      <c r="B107" s="55" t="s">
        <v>297</v>
      </c>
      <c r="C107" s="18" t="s">
        <v>298</v>
      </c>
      <c r="D107" s="66">
        <v>0</v>
      </c>
      <c r="E107" s="24"/>
      <c r="F107" s="8"/>
      <c r="I107" s="4"/>
    </row>
    <row r="108" spans="1:9">
      <c r="A108" s="55" t="s">
        <v>299</v>
      </c>
      <c r="B108" s="55" t="s">
        <v>300</v>
      </c>
      <c r="C108" s="16" t="s">
        <v>301</v>
      </c>
      <c r="D108" s="63">
        <v>0</v>
      </c>
      <c r="E108" s="23"/>
      <c r="F108" s="1"/>
      <c r="I108" s="3"/>
    </row>
    <row r="109" spans="1:9">
      <c r="C109" s="13"/>
      <c r="D109" s="13"/>
      <c r="E109" s="13"/>
    </row>
    <row r="110" spans="1:9">
      <c r="C110" s="43"/>
      <c r="D110" s="44"/>
      <c r="E110" s="44"/>
    </row>
  </sheetData>
  <mergeCells count="13">
    <mergeCell ref="C8:E8"/>
    <mergeCell ref="A10:A11"/>
    <mergeCell ref="C10:C11"/>
    <mergeCell ref="D10:E10"/>
    <mergeCell ref="C1:E1"/>
    <mergeCell ref="D3:E3"/>
    <mergeCell ref="B10:B11"/>
    <mergeCell ref="D6:E6"/>
    <mergeCell ref="G6:H6"/>
    <mergeCell ref="D4:E4"/>
    <mergeCell ref="D5:E5"/>
    <mergeCell ref="C7:E7"/>
    <mergeCell ref="G5:H5"/>
  </mergeCells>
  <conditionalFormatting sqref="A12:B108">
    <cfRule type="expression" dxfId="11" priority="1" stopIfTrue="1">
      <formula>#REF!=1</formula>
    </cfRule>
  </conditionalFormatting>
  <conditionalFormatting sqref="C12:E108 C109:G290">
    <cfRule type="expression" dxfId="10" priority="5" stopIfTrue="1">
      <formula>#REF!=1</formula>
    </cfRule>
  </conditionalFormatting>
  <conditionalFormatting sqref="D12:E108 F109:G194">
    <cfRule type="expression" dxfId="9" priority="6">
      <formula>#REF!=2</formula>
    </cfRule>
  </conditionalFormatting>
  <conditionalFormatting sqref="D67:E67">
    <cfRule type="cellIs" dxfId="8" priority="2" operator="lessThan">
      <formula>0</formula>
    </cfRule>
  </conditionalFormatting>
  <pageMargins left="0.7" right="0.7" top="0.75" bottom="0.75" header="0.3" footer="0.3"/>
  <pageSetup paperSize="9" scale="7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E329-241B-460C-998B-ECB28B88AF56}">
  <sheetPr>
    <pageSetUpPr fitToPage="1"/>
  </sheetPr>
  <dimension ref="A1:I95"/>
  <sheetViews>
    <sheetView showGridLines="0" tabSelected="1" workbookViewId="0">
      <selection activeCell="G6" sqref="G6"/>
    </sheetView>
  </sheetViews>
  <sheetFormatPr defaultRowHeight="15"/>
  <cols>
    <col min="1" max="1" width="8.7109375" customWidth="1"/>
    <col min="2" max="2" width="15.5703125" bestFit="1" customWidth="1"/>
    <col min="3" max="3" width="50.7109375" customWidth="1"/>
    <col min="4" max="5" width="15.7109375" customWidth="1"/>
    <col min="6" max="6" width="16.85546875" style="38" customWidth="1"/>
    <col min="7" max="7" width="16.85546875" customWidth="1"/>
    <col min="8" max="8" width="1.85546875" customWidth="1"/>
  </cols>
  <sheetData>
    <row r="1" spans="1:9">
      <c r="C1" s="89" t="s">
        <v>0</v>
      </c>
      <c r="D1" s="89"/>
      <c r="E1" s="89"/>
    </row>
    <row r="2" spans="1:9" s="53" customFormat="1">
      <c r="C2" s="51"/>
      <c r="D2" s="51"/>
      <c r="E2" s="51"/>
      <c r="F2" s="52"/>
    </row>
    <row r="3" spans="1:9" s="53" customFormat="1">
      <c r="C3" s="49" t="s">
        <v>1</v>
      </c>
      <c r="D3" s="77"/>
      <c r="E3" s="78"/>
      <c r="F3" s="76"/>
    </row>
    <row r="4" spans="1:9" s="53" customFormat="1">
      <c r="C4" s="49" t="s">
        <v>2</v>
      </c>
      <c r="D4" s="77"/>
      <c r="E4" s="78"/>
      <c r="F4" s="76"/>
    </row>
    <row r="5" spans="1:9" s="53" customFormat="1">
      <c r="C5" s="49" t="s">
        <v>3</v>
      </c>
      <c r="D5" s="79"/>
      <c r="E5" s="80"/>
      <c r="F5" s="76"/>
    </row>
    <row r="6" spans="1:9">
      <c r="F6" s="2"/>
      <c r="G6" s="1"/>
      <c r="H6" s="1"/>
    </row>
    <row r="7" spans="1:9" ht="23.1" customHeight="1">
      <c r="C7" s="81" t="s">
        <v>302</v>
      </c>
      <c r="D7" s="81"/>
      <c r="E7" s="81"/>
      <c r="F7" s="39"/>
      <c r="G7" s="6"/>
      <c r="H7" s="1"/>
    </row>
    <row r="8" spans="1:9" ht="15" customHeight="1">
      <c r="C8" s="82" t="s">
        <v>303</v>
      </c>
      <c r="D8" s="82"/>
      <c r="E8" s="82"/>
      <c r="F8" s="2"/>
      <c r="G8" s="50"/>
      <c r="H8" s="1"/>
    </row>
    <row r="9" spans="1:9" ht="23.25" customHeight="1" thickBot="1">
      <c r="C9" s="14"/>
      <c r="D9" s="14"/>
      <c r="E9" s="15" t="s">
        <v>8</v>
      </c>
      <c r="F9" s="2"/>
      <c r="H9" s="1"/>
    </row>
    <row r="10" spans="1:9" s="13" customFormat="1">
      <c r="A10" s="83" t="s">
        <v>304</v>
      </c>
      <c r="B10" s="90" t="s">
        <v>10</v>
      </c>
      <c r="C10" s="85" t="s">
        <v>11</v>
      </c>
      <c r="D10" s="87" t="s">
        <v>12</v>
      </c>
      <c r="E10" s="88"/>
      <c r="F10" s="40"/>
    </row>
    <row r="11" spans="1:9" s="13" customFormat="1">
      <c r="A11" s="84"/>
      <c r="B11" s="91"/>
      <c r="C11" s="86"/>
      <c r="D11" s="56" t="s">
        <v>305</v>
      </c>
      <c r="E11" s="57"/>
      <c r="F11" s="42"/>
      <c r="G11" s="54"/>
    </row>
    <row r="12" spans="1:9" s="35" customFormat="1">
      <c r="A12" s="69">
        <v>110</v>
      </c>
      <c r="B12" s="55" t="s">
        <v>306</v>
      </c>
      <c r="C12" s="16" t="s">
        <v>307</v>
      </c>
      <c r="D12" s="25">
        <f>D13+D17+D20</f>
        <v>0</v>
      </c>
      <c r="E12" s="26"/>
      <c r="F12" s="41"/>
      <c r="I12" s="36"/>
    </row>
    <row r="13" spans="1:9" s="35" customFormat="1">
      <c r="A13" s="69">
        <v>111</v>
      </c>
      <c r="B13" s="55" t="s">
        <v>308</v>
      </c>
      <c r="C13" s="18" t="s">
        <v>309</v>
      </c>
      <c r="D13" s="25">
        <f>D14+D15+D16</f>
        <v>0</v>
      </c>
      <c r="E13" s="26"/>
      <c r="F13" s="41"/>
      <c r="I13" s="36"/>
    </row>
    <row r="14" spans="1:9" s="13" customFormat="1" ht="28.5">
      <c r="A14" s="69">
        <v>112</v>
      </c>
      <c r="B14" s="55" t="s">
        <v>310</v>
      </c>
      <c r="C14" s="27" t="s">
        <v>311</v>
      </c>
      <c r="D14" s="28">
        <v>0</v>
      </c>
      <c r="E14" s="29"/>
      <c r="F14" s="41"/>
      <c r="I14" s="37"/>
    </row>
    <row r="15" spans="1:9" s="13" customFormat="1" ht="14.25">
      <c r="A15" s="69">
        <v>113</v>
      </c>
      <c r="B15" s="55" t="s">
        <v>312</v>
      </c>
      <c r="C15" s="27" t="s">
        <v>313</v>
      </c>
      <c r="D15" s="28">
        <v>0</v>
      </c>
      <c r="E15" s="29"/>
      <c r="F15" s="41"/>
      <c r="I15" s="37"/>
    </row>
    <row r="16" spans="1:9" s="13" customFormat="1" ht="14.25">
      <c r="A16" s="69">
        <v>114</v>
      </c>
      <c r="B16" s="55" t="s">
        <v>314</v>
      </c>
      <c r="C16" s="27" t="s">
        <v>315</v>
      </c>
      <c r="D16" s="28">
        <v>0</v>
      </c>
      <c r="E16" s="29"/>
      <c r="F16" s="41"/>
      <c r="I16" s="37"/>
    </row>
    <row r="17" spans="1:9" s="35" customFormat="1">
      <c r="A17" s="69">
        <v>115</v>
      </c>
      <c r="B17" s="55" t="s">
        <v>316</v>
      </c>
      <c r="C17" s="18" t="s">
        <v>317</v>
      </c>
      <c r="D17" s="32">
        <f>D18+D19</f>
        <v>0</v>
      </c>
      <c r="E17" s="33"/>
      <c r="F17" s="41"/>
      <c r="I17" s="36"/>
    </row>
    <row r="18" spans="1:9" s="13" customFormat="1" ht="14.25">
      <c r="A18" s="69">
        <v>116</v>
      </c>
      <c r="B18" s="55" t="s">
        <v>318</v>
      </c>
      <c r="C18" s="27" t="s">
        <v>319</v>
      </c>
      <c r="D18" s="28">
        <v>0</v>
      </c>
      <c r="E18" s="29"/>
      <c r="F18" s="41"/>
      <c r="I18" s="37"/>
    </row>
    <row r="19" spans="1:9" s="13" customFormat="1" ht="14.25">
      <c r="A19" s="69">
        <v>117</v>
      </c>
      <c r="B19" s="55" t="s">
        <v>320</v>
      </c>
      <c r="C19" s="27" t="s">
        <v>321</v>
      </c>
      <c r="D19" s="28">
        <v>0</v>
      </c>
      <c r="E19" s="29"/>
      <c r="F19" s="41"/>
      <c r="I19" s="37"/>
    </row>
    <row r="20" spans="1:9" s="35" customFormat="1">
      <c r="A20" s="69">
        <v>118</v>
      </c>
      <c r="B20" s="55" t="s">
        <v>322</v>
      </c>
      <c r="C20" s="18" t="s">
        <v>323</v>
      </c>
      <c r="D20" s="32">
        <f>D21+D22</f>
        <v>0</v>
      </c>
      <c r="E20" s="33"/>
      <c r="F20" s="41"/>
      <c r="I20" s="36"/>
    </row>
    <row r="21" spans="1:9" s="13" customFormat="1" ht="14.25">
      <c r="A21" s="69">
        <v>119</v>
      </c>
      <c r="B21" s="55" t="s">
        <v>324</v>
      </c>
      <c r="C21" s="27" t="s">
        <v>319</v>
      </c>
      <c r="D21" s="28">
        <v>0</v>
      </c>
      <c r="E21" s="29"/>
      <c r="F21" s="41"/>
      <c r="I21" s="37"/>
    </row>
    <row r="22" spans="1:9" s="13" customFormat="1" ht="14.25">
      <c r="A22" s="69">
        <v>120</v>
      </c>
      <c r="B22" s="55" t="s">
        <v>325</v>
      </c>
      <c r="C22" s="27" t="s">
        <v>321</v>
      </c>
      <c r="D22" s="28">
        <v>0</v>
      </c>
      <c r="E22" s="29"/>
      <c r="F22" s="41"/>
      <c r="I22" s="37"/>
    </row>
    <row r="23" spans="1:9" s="13" customFormat="1" ht="30">
      <c r="A23" s="70" t="s">
        <v>326</v>
      </c>
      <c r="B23" s="55" t="s">
        <v>327</v>
      </c>
      <c r="C23" s="16" t="s">
        <v>328</v>
      </c>
      <c r="D23" s="28"/>
      <c r="E23" s="29"/>
      <c r="F23" s="41"/>
      <c r="I23" s="37"/>
    </row>
    <row r="24" spans="1:9" s="35" customFormat="1" ht="45">
      <c r="A24" s="69">
        <v>121</v>
      </c>
      <c r="B24" s="55" t="s">
        <v>329</v>
      </c>
      <c r="C24" s="16" t="s">
        <v>330</v>
      </c>
      <c r="D24" s="30">
        <v>0</v>
      </c>
      <c r="E24" s="31"/>
      <c r="F24" s="41"/>
      <c r="I24" s="36"/>
    </row>
    <row r="25" spans="1:9" s="35" customFormat="1" ht="45">
      <c r="A25" s="69">
        <v>122</v>
      </c>
      <c r="B25" s="55" t="s">
        <v>331</v>
      </c>
      <c r="C25" s="16" t="s">
        <v>332</v>
      </c>
      <c r="D25" s="30">
        <v>0</v>
      </c>
      <c r="E25" s="31"/>
      <c r="F25" s="41"/>
      <c r="I25" s="36"/>
    </row>
    <row r="26" spans="1:9" s="35" customFormat="1" ht="30">
      <c r="A26" s="69">
        <v>123</v>
      </c>
      <c r="B26" s="55" t="s">
        <v>333</v>
      </c>
      <c r="C26" s="16" t="s">
        <v>334</v>
      </c>
      <c r="D26" s="30">
        <v>0</v>
      </c>
      <c r="E26" s="31"/>
      <c r="F26" s="41"/>
      <c r="I26" s="36"/>
    </row>
    <row r="27" spans="1:9" s="35" customFormat="1" ht="45">
      <c r="A27" s="69">
        <v>124</v>
      </c>
      <c r="B27" s="55" t="s">
        <v>335</v>
      </c>
      <c r="C27" s="16" t="s">
        <v>336</v>
      </c>
      <c r="D27" s="30">
        <v>0</v>
      </c>
      <c r="E27" s="31"/>
      <c r="F27" s="41"/>
      <c r="I27" s="36"/>
    </row>
    <row r="28" spans="1:9" s="35" customFormat="1">
      <c r="A28" s="69">
        <v>125</v>
      </c>
      <c r="B28" s="55" t="s">
        <v>337</v>
      </c>
      <c r="C28" s="16" t="s">
        <v>338</v>
      </c>
      <c r="D28" s="30">
        <v>0</v>
      </c>
      <c r="E28" s="31"/>
      <c r="F28" s="41"/>
      <c r="I28" s="36"/>
    </row>
    <row r="29" spans="1:9" s="35" customFormat="1">
      <c r="A29" s="69">
        <v>126</v>
      </c>
      <c r="B29" s="55" t="s">
        <v>339</v>
      </c>
      <c r="C29" s="16" t="s">
        <v>340</v>
      </c>
      <c r="D29" s="30">
        <v>0</v>
      </c>
      <c r="E29" s="26"/>
      <c r="F29" s="41"/>
      <c r="I29" s="36"/>
    </row>
    <row r="30" spans="1:9" s="35" customFormat="1">
      <c r="A30" s="69">
        <v>127</v>
      </c>
      <c r="B30" s="55" t="s">
        <v>341</v>
      </c>
      <c r="C30" s="16" t="s">
        <v>342</v>
      </c>
      <c r="D30" s="25">
        <f>D31+D33+D37</f>
        <v>0</v>
      </c>
      <c r="E30" s="26"/>
      <c r="F30" s="41"/>
      <c r="I30" s="36"/>
    </row>
    <row r="31" spans="1:9" s="35" customFormat="1">
      <c r="A31" s="69">
        <v>128</v>
      </c>
      <c r="B31" s="55" t="s">
        <v>343</v>
      </c>
      <c r="C31" s="18" t="s">
        <v>344</v>
      </c>
      <c r="D31" s="32">
        <v>0</v>
      </c>
      <c r="E31" s="33"/>
      <c r="F31" s="41"/>
      <c r="I31" s="36"/>
    </row>
    <row r="32" spans="1:9" s="13" customFormat="1" ht="28.5">
      <c r="A32" s="69">
        <v>129</v>
      </c>
      <c r="B32" s="55" t="s">
        <v>345</v>
      </c>
      <c r="C32" s="27" t="s">
        <v>346</v>
      </c>
      <c r="D32" s="28">
        <v>0</v>
      </c>
      <c r="E32" s="29"/>
      <c r="F32" s="41"/>
      <c r="I32" s="37"/>
    </row>
    <row r="33" spans="1:9" s="13" customFormat="1" ht="14.25">
      <c r="A33" s="69">
        <v>130</v>
      </c>
      <c r="B33" s="55" t="s">
        <v>347</v>
      </c>
      <c r="C33" s="27" t="s">
        <v>348</v>
      </c>
      <c r="D33" s="32">
        <f>D34+D35+D36</f>
        <v>0</v>
      </c>
      <c r="E33" s="33"/>
      <c r="F33" s="41"/>
      <c r="I33" s="37"/>
    </row>
    <row r="34" spans="1:9" s="13" customFormat="1" ht="14.25">
      <c r="A34" s="69">
        <v>131</v>
      </c>
      <c r="B34" s="55" t="s">
        <v>349</v>
      </c>
      <c r="C34" s="20" t="s">
        <v>350</v>
      </c>
      <c r="D34" s="28">
        <v>0</v>
      </c>
      <c r="E34" s="29"/>
      <c r="F34" s="41"/>
      <c r="I34" s="37"/>
    </row>
    <row r="35" spans="1:9" s="13" customFormat="1" ht="14.25">
      <c r="A35" s="69">
        <v>132</v>
      </c>
      <c r="B35" s="55" t="s">
        <v>351</v>
      </c>
      <c r="C35" s="20" t="s">
        <v>352</v>
      </c>
      <c r="D35" s="28">
        <v>0</v>
      </c>
      <c r="E35" s="29"/>
      <c r="F35" s="41"/>
      <c r="I35" s="37"/>
    </row>
    <row r="36" spans="1:9" s="13" customFormat="1" ht="14.25">
      <c r="A36" s="69">
        <v>133</v>
      </c>
      <c r="B36" s="55" t="s">
        <v>353</v>
      </c>
      <c r="C36" s="20" t="s">
        <v>354</v>
      </c>
      <c r="D36" s="28">
        <v>0</v>
      </c>
      <c r="E36" s="29"/>
      <c r="F36" s="41"/>
      <c r="I36" s="37"/>
    </row>
    <row r="37" spans="1:9" s="13" customFormat="1" ht="14.25">
      <c r="A37" s="69">
        <v>134</v>
      </c>
      <c r="B37" s="55" t="s">
        <v>355</v>
      </c>
      <c r="C37" s="27" t="s">
        <v>356</v>
      </c>
      <c r="D37" s="32">
        <f>D38+D39+D40+D41</f>
        <v>0</v>
      </c>
      <c r="E37" s="33"/>
      <c r="F37" s="41"/>
      <c r="I37" s="37"/>
    </row>
    <row r="38" spans="1:9" s="13" customFormat="1" ht="14.25">
      <c r="A38" s="69">
        <v>135</v>
      </c>
      <c r="B38" s="55" t="s">
        <v>357</v>
      </c>
      <c r="C38" s="20" t="s">
        <v>358</v>
      </c>
      <c r="D38" s="28">
        <v>0</v>
      </c>
      <c r="E38" s="29"/>
      <c r="F38" s="41"/>
      <c r="I38" s="37"/>
    </row>
    <row r="39" spans="1:9" s="13" customFormat="1" ht="14.25">
      <c r="A39" s="69">
        <v>136</v>
      </c>
      <c r="B39" s="55" t="s">
        <v>359</v>
      </c>
      <c r="C39" s="20" t="s">
        <v>360</v>
      </c>
      <c r="D39" s="28">
        <v>0</v>
      </c>
      <c r="E39" s="29"/>
      <c r="F39" s="41"/>
      <c r="I39" s="37"/>
    </row>
    <row r="40" spans="1:9" s="13" customFormat="1" ht="28.5">
      <c r="A40" s="69">
        <v>137</v>
      </c>
      <c r="B40" s="55" t="s">
        <v>361</v>
      </c>
      <c r="C40" s="20" t="s">
        <v>362</v>
      </c>
      <c r="D40" s="28">
        <v>0</v>
      </c>
      <c r="E40" s="29"/>
      <c r="F40" s="41"/>
      <c r="I40" s="37"/>
    </row>
    <row r="41" spans="1:9" s="13" customFormat="1" ht="14.25">
      <c r="A41" s="69">
        <v>138</v>
      </c>
      <c r="B41" s="55" t="s">
        <v>363</v>
      </c>
      <c r="C41" s="20" t="s">
        <v>364</v>
      </c>
      <c r="D41" s="28">
        <v>0</v>
      </c>
      <c r="E41" s="29"/>
      <c r="F41" s="41"/>
      <c r="I41" s="37"/>
    </row>
    <row r="42" spans="1:9" s="35" customFormat="1">
      <c r="A42" s="69">
        <v>139</v>
      </c>
      <c r="B42" s="55" t="s">
        <v>365</v>
      </c>
      <c r="C42" s="18" t="s">
        <v>366</v>
      </c>
      <c r="D42" s="32">
        <f>D43+D44+D45+D46</f>
        <v>0</v>
      </c>
      <c r="E42" s="33"/>
      <c r="F42" s="41"/>
      <c r="I42" s="36"/>
    </row>
    <row r="43" spans="1:9" s="13" customFormat="1" ht="14.25">
      <c r="A43" s="69">
        <v>140</v>
      </c>
      <c r="B43" s="55" t="s">
        <v>367</v>
      </c>
      <c r="C43" s="27" t="s">
        <v>368</v>
      </c>
      <c r="D43" s="28">
        <v>0</v>
      </c>
      <c r="E43" s="29"/>
      <c r="F43" s="41"/>
      <c r="I43" s="37"/>
    </row>
    <row r="44" spans="1:9" s="13" customFormat="1" ht="14.25">
      <c r="A44" s="69">
        <v>141</v>
      </c>
      <c r="B44" s="55" t="s">
        <v>369</v>
      </c>
      <c r="C44" s="27" t="s">
        <v>370</v>
      </c>
      <c r="D44" s="28">
        <v>0</v>
      </c>
      <c r="E44" s="29"/>
      <c r="F44" s="41"/>
      <c r="I44" s="37"/>
    </row>
    <row r="45" spans="1:9" s="13" customFormat="1" ht="14.25">
      <c r="A45" s="69">
        <v>142</v>
      </c>
      <c r="B45" s="55" t="s">
        <v>371</v>
      </c>
      <c r="C45" s="27" t="s">
        <v>372</v>
      </c>
      <c r="D45" s="28">
        <v>0</v>
      </c>
      <c r="E45" s="29"/>
      <c r="F45" s="41"/>
      <c r="I45" s="37"/>
    </row>
    <row r="46" spans="1:9" s="13" customFormat="1" ht="14.25">
      <c r="A46" s="69">
        <v>143</v>
      </c>
      <c r="B46" s="55" t="s">
        <v>373</v>
      </c>
      <c r="C46" s="27" t="s">
        <v>374</v>
      </c>
      <c r="D46" s="28">
        <v>0</v>
      </c>
      <c r="E46" s="29"/>
      <c r="F46" s="41"/>
      <c r="I46" s="37"/>
    </row>
    <row r="47" spans="1:9" s="35" customFormat="1">
      <c r="A47" s="69">
        <v>144</v>
      </c>
      <c r="B47" s="55" t="s">
        <v>375</v>
      </c>
      <c r="C47" s="18" t="s">
        <v>376</v>
      </c>
      <c r="D47" s="32">
        <f>D48+D49+D50</f>
        <v>0</v>
      </c>
      <c r="E47" s="33"/>
      <c r="F47" s="41"/>
      <c r="I47" s="36"/>
    </row>
    <row r="48" spans="1:9" s="13" customFormat="1" ht="14.25">
      <c r="A48" s="69">
        <v>145</v>
      </c>
      <c r="B48" s="55" t="s">
        <v>377</v>
      </c>
      <c r="C48" s="27" t="s">
        <v>378</v>
      </c>
      <c r="D48" s="28">
        <v>0</v>
      </c>
      <c r="E48" s="29"/>
      <c r="F48" s="41"/>
      <c r="I48" s="37"/>
    </row>
    <row r="49" spans="1:9" s="13" customFormat="1" ht="42.75">
      <c r="A49" s="69">
        <v>146</v>
      </c>
      <c r="B49" s="55" t="s">
        <v>379</v>
      </c>
      <c r="C49" s="27" t="s">
        <v>380</v>
      </c>
      <c r="D49" s="28">
        <v>0</v>
      </c>
      <c r="E49" s="29"/>
      <c r="F49" s="41"/>
      <c r="I49" s="37"/>
    </row>
    <row r="50" spans="1:9" s="13" customFormat="1" ht="28.5">
      <c r="A50" s="69">
        <v>147</v>
      </c>
      <c r="B50" s="55" t="s">
        <v>381</v>
      </c>
      <c r="C50" s="27" t="s">
        <v>382</v>
      </c>
      <c r="D50" s="28">
        <v>0</v>
      </c>
      <c r="E50" s="29"/>
      <c r="F50" s="41"/>
      <c r="I50" s="37"/>
    </row>
    <row r="51" spans="1:9" s="35" customFormat="1">
      <c r="A51" s="69">
        <v>148</v>
      </c>
      <c r="B51" s="55" t="s">
        <v>383</v>
      </c>
      <c r="C51" s="18" t="s">
        <v>384</v>
      </c>
      <c r="D51" s="32">
        <f>D52+D53</f>
        <v>0</v>
      </c>
      <c r="E51" s="33"/>
      <c r="F51" s="41"/>
      <c r="I51" s="36"/>
    </row>
    <row r="52" spans="1:9" s="13" customFormat="1" ht="14.25">
      <c r="A52" s="69">
        <v>149</v>
      </c>
      <c r="B52" s="55" t="s">
        <v>385</v>
      </c>
      <c r="C52" s="27" t="s">
        <v>232</v>
      </c>
      <c r="D52" s="28">
        <v>0</v>
      </c>
      <c r="E52" s="29"/>
      <c r="F52" s="41"/>
      <c r="I52" s="37"/>
    </row>
    <row r="53" spans="1:9" s="13" customFormat="1" ht="14.25">
      <c r="A53" s="69">
        <v>150</v>
      </c>
      <c r="B53" s="55" t="s">
        <v>386</v>
      </c>
      <c r="C53" s="27" t="s">
        <v>387</v>
      </c>
      <c r="D53" s="28">
        <v>0</v>
      </c>
      <c r="E53" s="29"/>
      <c r="F53" s="41"/>
      <c r="I53" s="37"/>
    </row>
    <row r="54" spans="1:9" s="13" customFormat="1">
      <c r="A54" s="70" t="s">
        <v>326</v>
      </c>
      <c r="B54" s="55" t="s">
        <v>388</v>
      </c>
      <c r="C54" s="16" t="s">
        <v>389</v>
      </c>
      <c r="D54" s="28">
        <v>0</v>
      </c>
      <c r="E54" s="29"/>
      <c r="F54" s="41"/>
      <c r="I54" s="37"/>
    </row>
    <row r="55" spans="1:9" s="35" customFormat="1">
      <c r="A55" s="69">
        <v>151</v>
      </c>
      <c r="B55" s="55" t="s">
        <v>390</v>
      </c>
      <c r="C55" s="16" t="s">
        <v>391</v>
      </c>
      <c r="D55" s="30">
        <v>0</v>
      </c>
      <c r="E55" s="29"/>
      <c r="F55" s="41"/>
      <c r="I55" s="36"/>
    </row>
    <row r="56" spans="1:9" s="35" customFormat="1">
      <c r="A56" s="69">
        <v>152</v>
      </c>
      <c r="B56" s="55" t="s">
        <v>392</v>
      </c>
      <c r="C56" s="16" t="s">
        <v>393</v>
      </c>
      <c r="D56" s="30">
        <v>0</v>
      </c>
      <c r="E56" s="29"/>
      <c r="F56" s="41"/>
      <c r="I56" s="36"/>
    </row>
    <row r="57" spans="1:9" s="35" customFormat="1">
      <c r="A57" s="69">
        <v>153</v>
      </c>
      <c r="B57" s="55" t="s">
        <v>394</v>
      </c>
      <c r="C57" s="16" t="s">
        <v>395</v>
      </c>
      <c r="D57" s="25">
        <f>D59+D64+D67</f>
        <v>0</v>
      </c>
      <c r="E57" s="26"/>
      <c r="F57" s="41"/>
      <c r="I57" s="36"/>
    </row>
    <row r="58" spans="1:9" s="35" customFormat="1" ht="28.5">
      <c r="A58" s="69">
        <v>154</v>
      </c>
      <c r="B58" s="55" t="s">
        <v>396</v>
      </c>
      <c r="C58" s="34" t="s">
        <v>397</v>
      </c>
      <c r="D58" s="46">
        <v>0</v>
      </c>
      <c r="E58" s="47"/>
      <c r="F58" s="41"/>
      <c r="I58" s="36"/>
    </row>
    <row r="59" spans="1:9" s="35" customFormat="1">
      <c r="A59" s="69">
        <v>155</v>
      </c>
      <c r="B59" s="55" t="s">
        <v>398</v>
      </c>
      <c r="C59" s="18" t="s">
        <v>399</v>
      </c>
      <c r="D59" s="32">
        <f>D60+D61+D62+D63</f>
        <v>0</v>
      </c>
      <c r="E59" s="33"/>
      <c r="F59" s="41"/>
      <c r="I59" s="36"/>
    </row>
    <row r="60" spans="1:9" s="13" customFormat="1" ht="28.5">
      <c r="A60" s="69">
        <v>156</v>
      </c>
      <c r="B60" s="55" t="s">
        <v>400</v>
      </c>
      <c r="C60" s="27" t="s">
        <v>401</v>
      </c>
      <c r="D60" s="28">
        <v>0</v>
      </c>
      <c r="E60" s="29"/>
      <c r="F60" s="41"/>
      <c r="I60" s="37"/>
    </row>
    <row r="61" spans="1:9" s="13" customFormat="1" ht="28.5">
      <c r="A61" s="69">
        <v>157</v>
      </c>
      <c r="B61" s="55" t="s">
        <v>402</v>
      </c>
      <c r="C61" s="27" t="s">
        <v>403</v>
      </c>
      <c r="D61" s="28">
        <v>0</v>
      </c>
      <c r="E61" s="29"/>
      <c r="F61" s="41"/>
      <c r="I61" s="37"/>
    </row>
    <row r="62" spans="1:9" s="13" customFormat="1" ht="14.25">
      <c r="A62" s="69">
        <v>158</v>
      </c>
      <c r="B62" s="55" t="s">
        <v>404</v>
      </c>
      <c r="C62" s="27" t="s">
        <v>405</v>
      </c>
      <c r="D62" s="28">
        <v>0</v>
      </c>
      <c r="E62" s="29"/>
      <c r="F62" s="41"/>
      <c r="I62" s="37"/>
    </row>
    <row r="63" spans="1:9" s="13" customFormat="1" ht="14.25">
      <c r="A63" s="69">
        <v>159</v>
      </c>
      <c r="B63" s="55" t="s">
        <v>406</v>
      </c>
      <c r="C63" s="27" t="s">
        <v>407</v>
      </c>
      <c r="D63" s="28">
        <v>0</v>
      </c>
      <c r="E63" s="29"/>
      <c r="F63" s="41"/>
      <c r="I63" s="37"/>
    </row>
    <row r="64" spans="1:9" s="35" customFormat="1">
      <c r="A64" s="69">
        <v>160</v>
      </c>
      <c r="B64" s="55" t="s">
        <v>408</v>
      </c>
      <c r="C64" s="18" t="s">
        <v>409</v>
      </c>
      <c r="D64" s="32">
        <f>D65+D66</f>
        <v>0</v>
      </c>
      <c r="E64" s="33"/>
      <c r="F64" s="41"/>
      <c r="I64" s="36"/>
    </row>
    <row r="65" spans="1:9" s="13" customFormat="1" ht="28.5">
      <c r="A65" s="69">
        <v>161</v>
      </c>
      <c r="B65" s="55" t="s">
        <v>410</v>
      </c>
      <c r="C65" s="27" t="s">
        <v>411</v>
      </c>
      <c r="D65" s="28">
        <v>0</v>
      </c>
      <c r="E65" s="29"/>
      <c r="F65" s="41"/>
      <c r="I65" s="37"/>
    </row>
    <row r="66" spans="1:9" s="13" customFormat="1" ht="14.25">
      <c r="A66" s="69">
        <v>162</v>
      </c>
      <c r="B66" s="55" t="s">
        <v>412</v>
      </c>
      <c r="C66" s="27" t="s">
        <v>413</v>
      </c>
      <c r="D66" s="28">
        <v>0</v>
      </c>
      <c r="E66" s="29"/>
      <c r="F66" s="41"/>
      <c r="I66" s="37"/>
    </row>
    <row r="67" spans="1:9" s="35" customFormat="1">
      <c r="A67" s="69">
        <v>163</v>
      </c>
      <c r="B67" s="55" t="s">
        <v>414</v>
      </c>
      <c r="C67" s="18" t="s">
        <v>415</v>
      </c>
      <c r="D67" s="32">
        <f>D68+D69</f>
        <v>0</v>
      </c>
      <c r="E67" s="33"/>
      <c r="F67" s="41"/>
      <c r="I67" s="36"/>
    </row>
    <row r="68" spans="1:9" s="13" customFormat="1" ht="28.5">
      <c r="A68" s="69">
        <v>164</v>
      </c>
      <c r="B68" s="55" t="s">
        <v>416</v>
      </c>
      <c r="C68" s="27" t="s">
        <v>417</v>
      </c>
      <c r="D68" s="28">
        <v>0</v>
      </c>
      <c r="E68" s="29"/>
      <c r="F68" s="41"/>
      <c r="I68" s="37"/>
    </row>
    <row r="69" spans="1:9" s="13" customFormat="1" ht="14.25">
      <c r="A69" s="69">
        <v>165</v>
      </c>
      <c r="B69" s="55" t="s">
        <v>418</v>
      </c>
      <c r="C69" s="27" t="s">
        <v>419</v>
      </c>
      <c r="D69" s="28">
        <v>0</v>
      </c>
      <c r="E69" s="29"/>
      <c r="F69" s="41"/>
      <c r="I69" s="37"/>
    </row>
    <row r="70" spans="1:9" s="35" customFormat="1">
      <c r="A70" s="69">
        <v>166</v>
      </c>
      <c r="B70" s="55" t="s">
        <v>420</v>
      </c>
      <c r="C70" s="16" t="s">
        <v>421</v>
      </c>
      <c r="D70" s="25">
        <f>D72+D73+D78</f>
        <v>0</v>
      </c>
      <c r="E70" s="26"/>
      <c r="F70" s="41"/>
      <c r="I70" s="36"/>
    </row>
    <row r="71" spans="1:9" s="35" customFormat="1" ht="28.5">
      <c r="A71" s="69">
        <v>167</v>
      </c>
      <c r="B71" s="55" t="s">
        <v>396</v>
      </c>
      <c r="C71" s="34" t="s">
        <v>422</v>
      </c>
      <c r="D71" s="46">
        <v>0</v>
      </c>
      <c r="E71" s="47"/>
      <c r="F71" s="41"/>
      <c r="I71" s="36"/>
    </row>
    <row r="72" spans="1:9" s="35" customFormat="1" ht="30">
      <c r="A72" s="69">
        <v>168</v>
      </c>
      <c r="B72" s="55" t="s">
        <v>423</v>
      </c>
      <c r="C72" s="18" t="s">
        <v>424</v>
      </c>
      <c r="D72" s="32">
        <v>0</v>
      </c>
      <c r="E72" s="33"/>
      <c r="F72" s="41"/>
      <c r="I72" s="36"/>
    </row>
    <row r="73" spans="1:9" s="35" customFormat="1">
      <c r="A73" s="69">
        <v>169</v>
      </c>
      <c r="B73" s="55" t="s">
        <v>425</v>
      </c>
      <c r="C73" s="18" t="s">
        <v>426</v>
      </c>
      <c r="D73" s="32">
        <f>D74+D75+D76+D77</f>
        <v>0</v>
      </c>
      <c r="E73" s="33"/>
      <c r="F73" s="41"/>
      <c r="I73" s="36"/>
    </row>
    <row r="74" spans="1:9" s="13" customFormat="1" ht="28.5">
      <c r="A74" s="69">
        <v>170</v>
      </c>
      <c r="B74" s="55" t="s">
        <v>427</v>
      </c>
      <c r="C74" s="27" t="s">
        <v>428</v>
      </c>
      <c r="D74" s="28">
        <v>0</v>
      </c>
      <c r="E74" s="29"/>
      <c r="F74" s="41"/>
      <c r="I74" s="37"/>
    </row>
    <row r="75" spans="1:9" s="13" customFormat="1" ht="14.25">
      <c r="A75" s="69">
        <v>171</v>
      </c>
      <c r="B75" s="55" t="s">
        <v>429</v>
      </c>
      <c r="C75" s="27" t="s">
        <v>430</v>
      </c>
      <c r="D75" s="28">
        <v>0</v>
      </c>
      <c r="E75" s="29"/>
      <c r="F75" s="41"/>
      <c r="I75" s="37"/>
    </row>
    <row r="76" spans="1:9" s="13" customFormat="1" ht="14.25">
      <c r="A76" s="69">
        <v>172</v>
      </c>
      <c r="B76" s="55" t="s">
        <v>431</v>
      </c>
      <c r="C76" s="27" t="s">
        <v>432</v>
      </c>
      <c r="D76" s="28">
        <v>0</v>
      </c>
      <c r="E76" s="29"/>
      <c r="F76" s="41"/>
      <c r="I76" s="37"/>
    </row>
    <row r="77" spans="1:9" s="13" customFormat="1" ht="14.25">
      <c r="A77" s="69">
        <v>173</v>
      </c>
      <c r="B77" s="55" t="s">
        <v>433</v>
      </c>
      <c r="C77" s="27" t="s">
        <v>434</v>
      </c>
      <c r="D77" s="28">
        <v>0</v>
      </c>
      <c r="E77" s="29"/>
      <c r="F77" s="41"/>
      <c r="I77" s="37"/>
    </row>
    <row r="78" spans="1:9" s="35" customFormat="1">
      <c r="A78" s="69">
        <v>174</v>
      </c>
      <c r="B78" s="55" t="s">
        <v>435</v>
      </c>
      <c r="C78" s="18" t="s">
        <v>436</v>
      </c>
      <c r="D78" s="32">
        <f>D79+D80+D81</f>
        <v>0</v>
      </c>
      <c r="E78" s="33"/>
      <c r="F78" s="41"/>
      <c r="I78" s="36"/>
    </row>
    <row r="79" spans="1:9" s="13" customFormat="1" ht="28.5">
      <c r="A79" s="69">
        <v>175</v>
      </c>
      <c r="B79" s="55" t="s">
        <v>437</v>
      </c>
      <c r="C79" s="27" t="s">
        <v>438</v>
      </c>
      <c r="D79" s="28">
        <v>0</v>
      </c>
      <c r="E79" s="29"/>
      <c r="F79" s="41"/>
      <c r="I79" s="37"/>
    </row>
    <row r="80" spans="1:9" s="13" customFormat="1" ht="28.5">
      <c r="A80" s="69">
        <v>176</v>
      </c>
      <c r="B80" s="55" t="s">
        <v>439</v>
      </c>
      <c r="C80" s="27" t="s">
        <v>440</v>
      </c>
      <c r="D80" s="28">
        <v>0</v>
      </c>
      <c r="E80" s="29"/>
      <c r="F80" s="41"/>
      <c r="I80" s="37"/>
    </row>
    <row r="81" spans="1:9" s="13" customFormat="1" ht="28.5">
      <c r="A81" s="69">
        <v>177</v>
      </c>
      <c r="B81" s="55" t="s">
        <v>441</v>
      </c>
      <c r="C81" s="27" t="s">
        <v>442</v>
      </c>
      <c r="D81" s="28">
        <v>0</v>
      </c>
      <c r="E81" s="29"/>
      <c r="F81" s="41"/>
      <c r="I81" s="37"/>
    </row>
    <row r="82" spans="1:9" s="35" customFormat="1">
      <c r="A82" s="69">
        <v>178</v>
      </c>
      <c r="B82" s="55" t="s">
        <v>443</v>
      </c>
      <c r="C82" s="16" t="s">
        <v>444</v>
      </c>
      <c r="D82" s="25">
        <f>D83+D84</f>
        <v>0</v>
      </c>
      <c r="E82" s="26"/>
      <c r="F82" s="41"/>
      <c r="I82" s="36"/>
    </row>
    <row r="83" spans="1:9" s="35" customFormat="1" ht="30">
      <c r="A83" s="69">
        <v>179</v>
      </c>
      <c r="B83" s="55" t="s">
        <v>445</v>
      </c>
      <c r="C83" s="18" t="s">
        <v>446</v>
      </c>
      <c r="D83" s="28">
        <v>0</v>
      </c>
      <c r="E83" s="29"/>
      <c r="F83" s="41"/>
      <c r="I83" s="36"/>
    </row>
    <row r="84" spans="1:9" s="35" customFormat="1">
      <c r="A84" s="69">
        <v>180</v>
      </c>
      <c r="B84" s="55" t="s">
        <v>447</v>
      </c>
      <c r="C84" s="18" t="s">
        <v>448</v>
      </c>
      <c r="D84" s="28">
        <v>0</v>
      </c>
      <c r="E84" s="29"/>
      <c r="F84" s="41"/>
      <c r="I84" s="36"/>
    </row>
    <row r="85" spans="1:9" s="35" customFormat="1">
      <c r="A85" s="69">
        <v>181</v>
      </c>
      <c r="B85" s="55" t="s">
        <v>449</v>
      </c>
      <c r="C85" s="16" t="s">
        <v>450</v>
      </c>
      <c r="D85" s="30">
        <v>0</v>
      </c>
      <c r="E85" s="31"/>
      <c r="F85" s="41"/>
      <c r="I85" s="36"/>
    </row>
    <row r="86" spans="1:9" s="35" customFormat="1">
      <c r="A86" s="70" t="s">
        <v>326</v>
      </c>
      <c r="B86" s="55" t="s">
        <v>451</v>
      </c>
      <c r="C86" s="16" t="s">
        <v>452</v>
      </c>
      <c r="D86" s="30">
        <v>0</v>
      </c>
      <c r="E86" s="31"/>
      <c r="F86" s="41"/>
      <c r="I86" s="36"/>
    </row>
    <row r="87" spans="1:9" s="35" customFormat="1">
      <c r="A87" s="69">
        <v>182</v>
      </c>
      <c r="B87" s="55" t="s">
        <v>453</v>
      </c>
      <c r="C87" s="16" t="s">
        <v>454</v>
      </c>
      <c r="D87" s="25">
        <v>0</v>
      </c>
      <c r="E87" s="26"/>
      <c r="F87" s="41"/>
      <c r="I87" s="36"/>
    </row>
    <row r="88" spans="1:9" s="35" customFormat="1">
      <c r="A88" s="69">
        <v>183</v>
      </c>
      <c r="B88" s="55" t="s">
        <v>455</v>
      </c>
      <c r="C88" s="16" t="s">
        <v>456</v>
      </c>
      <c r="D88" s="25">
        <v>0</v>
      </c>
      <c r="E88" s="26"/>
      <c r="F88" s="41"/>
      <c r="I88" s="36"/>
    </row>
    <row r="89" spans="1:9" s="35" customFormat="1">
      <c r="A89" s="69">
        <v>184</v>
      </c>
      <c r="B89" s="55" t="s">
        <v>457</v>
      </c>
      <c r="C89" s="16" t="s">
        <v>458</v>
      </c>
      <c r="D89" s="30">
        <v>0</v>
      </c>
      <c r="E89" s="31"/>
      <c r="F89" s="41"/>
      <c r="I89" s="36"/>
    </row>
    <row r="90" spans="1:9" s="35" customFormat="1">
      <c r="A90" s="69">
        <v>185</v>
      </c>
      <c r="B90" s="55" t="s">
        <v>459</v>
      </c>
      <c r="C90" s="16" t="s">
        <v>460</v>
      </c>
      <c r="D90" s="30">
        <v>0</v>
      </c>
      <c r="E90" s="31"/>
      <c r="F90" s="41"/>
      <c r="I90" s="36"/>
    </row>
    <row r="91" spans="1:9" s="35" customFormat="1" ht="30">
      <c r="A91" s="70" t="s">
        <v>326</v>
      </c>
      <c r="B91" s="55" t="s">
        <v>461</v>
      </c>
      <c r="C91" s="16" t="s">
        <v>462</v>
      </c>
      <c r="D91" s="30">
        <v>0</v>
      </c>
      <c r="E91" s="31"/>
      <c r="F91" s="41"/>
      <c r="I91" s="36"/>
    </row>
    <row r="92" spans="1:9" s="35" customFormat="1" ht="30">
      <c r="A92" s="69">
        <v>186</v>
      </c>
      <c r="B92" s="55" t="s">
        <v>463</v>
      </c>
      <c r="C92" s="16" t="s">
        <v>464</v>
      </c>
      <c r="D92" s="25">
        <v>0</v>
      </c>
      <c r="E92" s="26"/>
      <c r="F92" s="41"/>
      <c r="I92" s="36"/>
    </row>
    <row r="93" spans="1:9" s="35" customFormat="1">
      <c r="A93" s="69">
        <v>187</v>
      </c>
      <c r="B93" s="55" t="s">
        <v>465</v>
      </c>
      <c r="C93" s="16" t="s">
        <v>466</v>
      </c>
      <c r="D93" s="25">
        <v>0</v>
      </c>
      <c r="E93" s="26"/>
      <c r="F93" s="41"/>
      <c r="I93" s="36"/>
    </row>
    <row r="94" spans="1:9" s="35" customFormat="1" ht="45">
      <c r="A94" s="69">
        <v>188</v>
      </c>
      <c r="B94" s="55" t="s">
        <v>467</v>
      </c>
      <c r="C94" s="16" t="s">
        <v>468</v>
      </c>
      <c r="D94" s="28">
        <v>0</v>
      </c>
      <c r="E94" s="29"/>
      <c r="F94" s="40"/>
      <c r="I94" s="36"/>
    </row>
    <row r="95" spans="1:9" s="35" customFormat="1" ht="15.75" thickBot="1">
      <c r="A95" s="71">
        <v>189</v>
      </c>
      <c r="B95" s="72" t="s">
        <v>469</v>
      </c>
      <c r="C95" s="73" t="s">
        <v>470</v>
      </c>
      <c r="D95" s="74">
        <v>12</v>
      </c>
      <c r="E95" s="75"/>
      <c r="F95" s="40"/>
      <c r="I95" s="36"/>
    </row>
  </sheetData>
  <protectedRanges>
    <protectedRange algorithmName="SHA-512" hashValue="OfzEDXHl8Mqme3hm8m415EOwjDT2TLW25XpG95UyU84M1Zsc4HUOs5VWp/r74XV6M8/1ZfFhM56MceDvORoPVQ==" saltValue="nwdM+CQmbO+1qM35Xr47eg==" spinCount="100000" sqref="D12:E13 D17:E17 D20:E20 D29:E31 D33:E33 D37:E37 D42:E42 D47:E47 D51:E51 D55:E57 D59:E59 D64:E64 D67:E67 D70:E70 D72:E73 D78:E78 D82:E82 D87:E88 D92:E93" name="Obseg1"/>
  </protectedRanges>
  <mergeCells count="11">
    <mergeCell ref="A10:A11"/>
    <mergeCell ref="C10:C11"/>
    <mergeCell ref="D10:E10"/>
    <mergeCell ref="C1:E1"/>
    <mergeCell ref="D3:E3"/>
    <mergeCell ref="B10:B11"/>
    <mergeCell ref="F3:F5"/>
    <mergeCell ref="D4:E4"/>
    <mergeCell ref="D5:E5"/>
    <mergeCell ref="C7:E7"/>
    <mergeCell ref="C8:E8"/>
  </mergeCells>
  <conditionalFormatting sqref="A12:B95">
    <cfRule type="expression" dxfId="7" priority="1" stopIfTrue="1">
      <formula>#REF!=1</formula>
    </cfRule>
  </conditionalFormatting>
  <conditionalFormatting sqref="C12:E95">
    <cfRule type="expression" dxfId="6" priority="18" stopIfTrue="1">
      <formula>#REF!=1</formula>
    </cfRule>
  </conditionalFormatting>
  <conditionalFormatting sqref="C96:G276">
    <cfRule type="expression" dxfId="5" priority="15" stopIfTrue="1">
      <formula>#REF!=1</formula>
    </cfRule>
  </conditionalFormatting>
  <conditionalFormatting sqref="D12:E95">
    <cfRule type="expression" dxfId="4" priority="17">
      <formula>#REF!=2</formula>
    </cfRule>
  </conditionalFormatting>
  <conditionalFormatting sqref="D56:E56">
    <cfRule type="cellIs" dxfId="3" priority="3" operator="greaterThan">
      <formula>0</formula>
    </cfRule>
  </conditionalFormatting>
  <conditionalFormatting sqref="D88:E88">
    <cfRule type="cellIs" dxfId="2" priority="4" operator="greaterThan">
      <formula>0</formula>
    </cfRule>
  </conditionalFormatting>
  <conditionalFormatting sqref="D93:E93">
    <cfRule type="cellIs" dxfId="1" priority="5" operator="greaterThan">
      <formula>0</formula>
    </cfRule>
  </conditionalFormatting>
  <conditionalFormatting sqref="F96:G197">
    <cfRule type="expression" dxfId="0" priority="16">
      <formula>#REF!=2</formula>
    </cfRule>
  </conditionalFormatting>
  <pageMargins left="0.7" right="0.7" top="0.75" bottom="0.75" header="0.3" footer="0.3"/>
  <pageSetup paperSize="9" scale="70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F13DE0CFD3C04B816426EF54FD84F7" ma:contentTypeVersion="12" ma:contentTypeDescription="Create a new document." ma:contentTypeScope="" ma:versionID="cf780cd1d7015cfd10bbdb954ef01782">
  <xsd:schema xmlns:xsd="http://www.w3.org/2001/XMLSchema" xmlns:xs="http://www.w3.org/2001/XMLSchema" xmlns:p="http://schemas.microsoft.com/office/2006/metadata/properties" xmlns:ns2="52984689-b23b-4369-ad8a-7c74cda426c6" xmlns:ns3="2f7517ef-dace-4a17-8612-8b59e0ed83d1" targetNamespace="http://schemas.microsoft.com/office/2006/metadata/properties" ma:root="true" ma:fieldsID="65c6531d629f55e731a6e042f77afb56" ns2:_="" ns3:_="">
    <xsd:import namespace="52984689-b23b-4369-ad8a-7c74cda426c6"/>
    <xsd:import namespace="2f7517ef-dace-4a17-8612-8b59e0ed83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84689-b23b-4369-ad8a-7c74cda42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7517ef-dace-4a17-8612-8b59e0ed83d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1738C1-E4DA-4E4B-8F30-88EC72601114}"/>
</file>

<file path=customXml/itemProps2.xml><?xml version="1.0" encoding="utf-8"?>
<ds:datastoreItem xmlns:ds="http://schemas.openxmlformats.org/officeDocument/2006/customXml" ds:itemID="{E1C0F9E2-A59D-4B65-B1F7-F7B241F0197C}"/>
</file>

<file path=customXml/itemProps3.xml><?xml version="1.0" encoding="utf-8"?>
<ds:datastoreItem xmlns:ds="http://schemas.openxmlformats.org/officeDocument/2006/customXml" ds:itemID="{42961415-B4A0-43B1-8849-C5067A8388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Žiga Borišek</dc:creator>
  <cp:keywords/>
  <dc:description/>
  <cp:lastModifiedBy/>
  <cp:revision/>
  <dcterms:created xsi:type="dcterms:W3CDTF">2021-05-06T11:37:22Z</dcterms:created>
  <dcterms:modified xsi:type="dcterms:W3CDTF">2026-05-14T13:07:47Z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0x010100CBF13DE0CFD3C04B816426EF54FD84F7</vt:lpwstr>
  </property>
</Properties>
</file>